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tomas\Documents\vscode\projects\maps-app_v2\data\es\malaga\facilities\"/>
    </mc:Choice>
  </mc:AlternateContent>
  <xr:revisionPtr revIDLastSave="0" documentId="13_ncr:1_{FBC3E49C-538D-48EA-B9C9-31B67796F7AF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Instructions" sheetId="1" r:id="rId1"/>
    <sheet name="Facilities" sheetId="2" r:id="rId2"/>
    <sheet name="Sheet1" sheetId="5" r:id="rId3"/>
    <sheet name="Operator_Sources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94" i="2" l="1"/>
  <c r="O93" i="2"/>
  <c r="N59" i="2"/>
  <c r="O58" i="2"/>
  <c r="O25" i="2"/>
  <c r="O26" i="2"/>
</calcChain>
</file>

<file path=xl/sharedStrings.xml><?xml version="1.0" encoding="utf-8"?>
<sst xmlns="http://schemas.openxmlformats.org/spreadsheetml/2006/main" count="1324" uniqueCount="892">
  <si>
    <t>Project Veridian — Málaga NLA Manual Research</t>
  </si>
  <si>
    <t>For facilities in data/es/malaga/facilities/malaga_facilities.json (99 sites)</t>
  </si>
  <si>
    <t>1. What you're filling in</t>
  </si>
  <si>
    <t>The Facilities sheet has one row per self-storage facility in Málaga province. Columns in yellow are empty and need researching. Everything else (name, address, lat/lng, website, etc.) is already populated from Google Places and should not be changed.</t>
  </si>
  <si>
    <t>nla_sqm  (column N)</t>
  </si>
  <si>
    <t>Net Lettable Area in m² — the total floor area available to rent out as storage units, excluding corridors, stairs, lifts, offices, loading bays, plant rooms. If the operator publishes a figure directly, use it exactly. Otherwise estimate as described in §3.</t>
  </si>
  <si>
    <t>constructed_area_sqm  (column O)</t>
  </si>
  <si>
    <t>Total gross constructed floor area (superficie construida). Preferred source is Catastro (§3). If you can only find NLA, leave this blank and the pipeline will estimate it as nla_sqm / 0.70. If you can only find constructed, pipeline estimates NLA as constructed × 0.70.</t>
  </si>
  <si>
    <t>confidence  (column P, dropdown)</t>
  </si>
  <si>
    <t>high = operator publishes the figure on its website or in press releases. medium = derived from Catastro constructed-area with NLA-ratio assumption. low = visual estimate from satellite imagery / StreetView / square-footage guess.</t>
  </si>
  <si>
    <t>source_url  (column Q)</t>
  </si>
  <si>
    <t>URL of the primary source you used. If multiple, pick the most authoritative. Leave blank only if source is Catastro (reference by Referencia Catastral in the notes column).</t>
  </si>
  <si>
    <t>notes  (column R)</t>
  </si>
  <si>
    <t>Anything the pipeline or future-you should know: Referencia Catastral, number of units, number of floors, whether the facility is inside a shared building, whether it's a 'guardamuebles' (bulk storage, not self-service) — anything that explains a non-obvious value.</t>
  </si>
  <si>
    <t>2. What NOT to fill in</t>
  </si>
  <si>
    <t>Do NOT edit: id, name, brand, municipio, postal_code, address, lat, lng, place_id, phone, website, rating, rating_count, source. These are from Google Places and will be merged back into the JSON unchanged.</t>
  </si>
  <si>
    <t>Do NOT try to fill facility_type (self_storage vs guardamuebles) or size_tier — the downstream pipeline (scripts/prepare-data.js) classifies those automatically from the NLA value and operator name regex. Your only job is NLA + constructed area.</t>
  </si>
  <si>
    <t>3. Where to find the data (in order of preference)</t>
  </si>
  <si>
    <t>3a. Operator website — HIGH confidence</t>
  </si>
  <si>
    <t>Chains almost always publish total m² or unit counts per location. Quick-reference URLs are in the Operator_Sources sheet. Look for pages titled 'Nuestros centros', 'Instalaciones', 'Ubicaciones', 'About', capacity tables, or individual facility 'ficha' pages.</t>
  </si>
  <si>
    <t>Brands in Málaga (with facility counts): Trasteros Plus 10, Keepy 6, Islatrans 6, trasteroZ 3, EasyBox 3, Reva 3, uStore-it 3, Full Storage 3, Dan 2, Trasteros Axarquía 2, WARDA 2, Independent 56. For 'Independent' facilities each needs its own research.</t>
  </si>
  <si>
    <t>3b. Catastro — MEDIUM confidence (via constructed_area × 0.70)</t>
  </si>
  <si>
    <t>https://www.sedecatastro.gob.es → 'Consulta de datos catastrales' → 'Por localización'. Enter the address (Málaga province, muni, street, number) or click directly on the map. The 'Datos descriptivos' panel shows 'Superficie construida' in m². Copy Referencia Catastral (14 characters) into the notes column for traceability.</t>
  </si>
  <si>
    <t>Catastro gives GROSS constructed area. For self-storage the NLA typically sits at 65–80 % of constructed (depends on how many corridors / offices). Use 0.70 as a default multiplier. Flag this row as confidence=medium.</t>
  </si>
  <si>
    <t>3c. Google Maps / Street View / satellite — LOW confidence</t>
  </si>
  <si>
    <t>Last resort for Independent single-site operators with no web presence and no clean Catastro match. Measure the building footprint on Google Maps (right-click → 'Medir distancia'), multiply by visible floor count from StreetView, then by 0.70. Flag the row confidence=low and explain the estimation in the notes column.</t>
  </si>
  <si>
    <t>3d. When the facility is clearly a 'guardamuebles' (removals / bulk storage)</t>
  </si>
  <si>
    <t>If the business is primarily a mover/guardamuebles (Islatrans, Trasteros Axarquía, some Independents), NLA as a storage KPI is less meaningful — they rent by volume-week not m²-month. Still provide the best area estimate you can; the pipeline will tag the facility as guardamuebles based on operator-name regex and constructed_area_sqm presence (see scripts/prepare-data.js).</t>
  </si>
  <si>
    <t>4. How this gets merged back</t>
  </si>
  <si>
    <t>When you're done, save the filled workbook as malaga_nla_research_filled.xlsx (don't overwrite the template). Claude will then run a merge script that reads the xlsx, maps facility ids to the corresponding entries in malaga_facilities.json, copies nla_sqm and constructed_area_sqm (and renames Málaga's nla_m2 field to match Euskadi's schema), and commits the enriched JSON.</t>
  </si>
  <si>
    <t>After that, the downstream pipeline (scripts/prepare-data.js — separate branch) will aggregate NLA per muni, compute nla_per_capita / nla_per_1000_households, classify facility_type and size_tier, and feed the opportunity-score formula.</t>
  </si>
  <si>
    <t>5. Sanity bounds (rough)</t>
  </si>
  <si>
    <t>Typical self-storage NLA ranges — use these as smell-tests, not hard limits:</t>
  </si>
  <si>
    <t xml:space="preserve">    small    50 – 300 m²    (converted garage / bajo comercial; often Independents)</t>
  </si>
  <si>
    <t xml:space="preserve">    medium   300 – 1,500 m² (typical urban Trasteros Plus, Keepy; 1 floor)</t>
  </si>
  <si>
    <t xml:space="preserve">    large    1,500 – 5,000 m² (regional uStore-it, multi-floor purpose-built)</t>
  </si>
  <si>
    <t xml:space="preserve">    xlarge   5,000 m²+       (rare in Málaga — mostly Marbella / outskirts of Málaga city)</t>
  </si>
  <si>
    <t>If your value falls outside this range, double-check the source before committing.</t>
  </si>
  <si>
    <t>6. Contact</t>
  </si>
  <si>
    <t>Project lead: Tomas Ru &lt;tomasrugeroni@gmail.com&gt;. Flag ambiguities in the notes column rather than guessing — it's cheaper to mark a row confidence=low than to revisit later.</t>
  </si>
  <si>
    <t>id</t>
  </si>
  <si>
    <t>name</t>
  </si>
  <si>
    <t>brand</t>
  </si>
  <si>
    <t>municipio</t>
  </si>
  <si>
    <t>postal_code</t>
  </si>
  <si>
    <t>address</t>
  </si>
  <si>
    <t>lat</t>
  </si>
  <si>
    <t>lng</t>
  </si>
  <si>
    <t>place_id</t>
  </si>
  <si>
    <t>phone</t>
  </si>
  <si>
    <t>website</t>
  </si>
  <si>
    <t>rating</t>
  </si>
  <si>
    <t>rating_count</t>
  </si>
  <si>
    <t>nla_sqm</t>
  </si>
  <si>
    <t>constructed_area_sqm</t>
  </si>
  <si>
    <t>confidence</t>
  </si>
  <si>
    <t>source_url</t>
  </si>
  <si>
    <t>notes</t>
  </si>
  <si>
    <t>mlg-001</t>
  </si>
  <si>
    <t>Trasteros Plus Fuengirola - Mijas</t>
  </si>
  <si>
    <t>Trasteros Plus</t>
  </si>
  <si>
    <t>Mijas</t>
  </si>
  <si>
    <t>29651</t>
  </si>
  <si>
    <t>C. Virgen de Fátima, 1, 29651 Las Lagunas de Mijas</t>
  </si>
  <si>
    <t>ChIJxWUEthficg0Rg6EEBTCiPbk</t>
  </si>
  <si>
    <t>+34 951 31 17 38</t>
  </si>
  <si>
    <t>https://www.trasterosplus.es/alquiler-trasteros/mijas-fuengirola/</t>
  </si>
  <si>
    <t>mlg-002</t>
  </si>
  <si>
    <t>Trasteros Plus Las Lagunas</t>
  </si>
  <si>
    <t>Las Lagunas de Mijas</t>
  </si>
  <si>
    <t>ChIJfWNuNBbicg0RJXi-apI8k08</t>
  </si>
  <si>
    <t>mlg-003</t>
  </si>
  <si>
    <t>Keepy Mijas</t>
  </si>
  <si>
    <t>Keepy</t>
  </si>
  <si>
    <t>ChIJA70XDxjicg0RGHcaLjzJ5S8</t>
  </si>
  <si>
    <t>+34 695 66 71 51</t>
  </si>
  <si>
    <t>https://www.keepy.es/alquiler-de-trasteros-fuengirola.php</t>
  </si>
  <si>
    <t>mlg-004</t>
  </si>
  <si>
    <t>Trasteros Mijas (Topacio)</t>
  </si>
  <si>
    <t>Independent</t>
  </si>
  <si>
    <t>ChIJTQ9K2Rrjcg0RuUb4GYBvb7M</t>
  </si>
  <si>
    <t>+34 640 70 83 71</t>
  </si>
  <si>
    <t>mlg-005</t>
  </si>
  <si>
    <t>Eco-Storage</t>
  </si>
  <si>
    <t>Av. de Francia, 29651 Mijas</t>
  </si>
  <si>
    <t>ChIJyzfeuTHhcg0RflOtJD6UNuc</t>
  </si>
  <si>
    <t>+34 603 32 48 73</t>
  </si>
  <si>
    <t>https://www.eco-storage.es/</t>
  </si>
  <si>
    <t>mlg-006</t>
  </si>
  <si>
    <t>Cubox Trasteros</t>
  </si>
  <si>
    <t>ChIJ95IbBbbhcg0R1nAY60hZ-3k</t>
  </si>
  <si>
    <t>+34 673 32 97 05</t>
  </si>
  <si>
    <t>http://www.cubox.com.es/</t>
  </si>
  <si>
    <t>mlg-007</t>
  </si>
  <si>
    <t>Costa Box Los Boliches</t>
  </si>
  <si>
    <t>Fuengirola</t>
  </si>
  <si>
    <t>29640</t>
  </si>
  <si>
    <t>Los Boliches, Fuengirola</t>
  </si>
  <si>
    <t>ChIJu5pRs2bjcg0RVmX0zyWA10g</t>
  </si>
  <si>
    <t>+34 687 68 65 40</t>
  </si>
  <si>
    <t>mlg-008</t>
  </si>
  <si>
    <t>Self Storage Costa Del Sol</t>
  </si>
  <si>
    <t>Benalmádena</t>
  </si>
  <si>
    <t>29631</t>
  </si>
  <si>
    <t>C. Moscatel, 28, loc 02, 29631 Arroyo de La Miel</t>
  </si>
  <si>
    <t>ChIJHSaf5Zz8cg0R6wVMgu_pl0k</t>
  </si>
  <si>
    <t>+34 951 07 97 48</t>
  </si>
  <si>
    <t>https://www.selfstoragecostadelsol.com/</t>
  </si>
  <si>
    <t>mlg-009</t>
  </si>
  <si>
    <t>Islatrans Torremolinos</t>
  </si>
  <si>
    <t>Islatrans</t>
  </si>
  <si>
    <t>Torremolinos</t>
  </si>
  <si>
    <t>29620</t>
  </si>
  <si>
    <t>C. Pez Espada, 19, 29620 Torremolinos</t>
  </si>
  <si>
    <t>ChIJfWhD2F39cg0RSKBH1XTgXi4</t>
  </si>
  <si>
    <t>+34 951 19 09 17</t>
  </si>
  <si>
    <t>https://www.islatrans.es/trasteros-en-torremolinos/</t>
  </si>
  <si>
    <t>mlg-010</t>
  </si>
  <si>
    <t>Trasteros Plus El Pinillo</t>
  </si>
  <si>
    <t>C. Decano Antonio Zedano, 11, 29620 Torremolinos</t>
  </si>
  <si>
    <t>ChIJeeiC8hv7cg0RRHzRO-5M3Xc</t>
  </si>
  <si>
    <t>+34 951 83 01 10</t>
  </si>
  <si>
    <t>https://www.trasterosplus.es/alquiler-trasteros/el-pinillo/</t>
  </si>
  <si>
    <t>mlg-011</t>
  </si>
  <si>
    <t>Self Storage Carihuela</t>
  </si>
  <si>
    <t>Carihuela, Torremolinos</t>
  </si>
  <si>
    <t>ChIJBbp4k5T7cg0Rfg60isSEKLA</t>
  </si>
  <si>
    <t>+34 622 55 30 05</t>
  </si>
  <si>
    <t>http://www.selfstoragecarihuela.com/</t>
  </si>
  <si>
    <t>mlg-012</t>
  </si>
  <si>
    <t>trasteroZ (Salvador Allende)</t>
  </si>
  <si>
    <t>trasteroZ</t>
  </si>
  <si>
    <t>C. Salvador Allende, 62, 29620 Torremolinos</t>
  </si>
  <si>
    <t>ChIJ26yKfuv9cg0RIRq0waPPIEw</t>
  </si>
  <si>
    <t>+34 951 20 45 25</t>
  </si>
  <si>
    <t>http://www.trasteroz.com/</t>
  </si>
  <si>
    <t>mlg-013</t>
  </si>
  <si>
    <t>trasteroZ (Carlota Alessandri 99)</t>
  </si>
  <si>
    <t>Av. Carlota Alessandri, 99, 29620 Torremolinos</t>
  </si>
  <si>
    <t>ChIJJ520io77cg0REqKB8kRYrf0</t>
  </si>
  <si>
    <t>http://trasteroz.com/</t>
  </si>
  <si>
    <t>mlg-014</t>
  </si>
  <si>
    <t>trasteroZ (Carlota Alessandri 93)</t>
  </si>
  <si>
    <t>Av. Carlota Alessandri, 93, 29620 Torremolinos</t>
  </si>
  <si>
    <t>ChIJ9Rb000b9cg0RQgYvNY7Yn6E</t>
  </si>
  <si>
    <t>https://www.trasteroz.com/</t>
  </si>
  <si>
    <t>mlg-015</t>
  </si>
  <si>
    <t>EasyBox Torremolinos</t>
  </si>
  <si>
    <t>EasyBox</t>
  </si>
  <si>
    <t>C. Marqués de Salamanca, 10, 29620 Torremolinos</t>
  </si>
  <si>
    <t>ChIJlzvJLer7cg0R6V34u7s0poI</t>
  </si>
  <si>
    <t>+34 951 41 95 41</t>
  </si>
  <si>
    <t>https://easyboxtrasteros.es/alquiler-trasteros-torremolinos/</t>
  </si>
  <si>
    <t>mlg-016</t>
  </si>
  <si>
    <t>EasyBox Benalmádena - Gamonal</t>
  </si>
  <si>
    <t>29630</t>
  </si>
  <si>
    <t>Av. Gamonal, 12, 29630 Benalmádena</t>
  </si>
  <si>
    <t>ChIJe3DgLYn8cg0RT0z1Pnp6to8</t>
  </si>
  <si>
    <t>https://easyboxtrasteros.es/alquiler-trasteros-gamonal/</t>
  </si>
  <si>
    <t>mlg-017</t>
  </si>
  <si>
    <t>EasyBox Benalmádena - Retamar</t>
  </si>
  <si>
    <t>Av. Retamar, 69, 29631 Benalmádena</t>
  </si>
  <si>
    <t>ChIJKRpE15Xjcg0RSzzYxGh9l7c</t>
  </si>
  <si>
    <t>https://easyboxtrasteros.es/alquiler-trasteros-retamar/</t>
  </si>
  <si>
    <t>mlg-018</t>
  </si>
  <si>
    <t>Trasteros Benalmádena</t>
  </si>
  <si>
    <t>C. Cariñena, 2, Local, 29631 Benalmádena</t>
  </si>
  <si>
    <t>ChIJ-6fH_UX9cg0RWj52dd71VJQ</t>
  </si>
  <si>
    <t>https://www.trasterosbenalmadena.es/</t>
  </si>
  <si>
    <t>mlg-019</t>
  </si>
  <si>
    <t>Trasteros Plus Juan XXIII (Plus Storage)</t>
  </si>
  <si>
    <t>Málaga</t>
  </si>
  <si>
    <t>29006</t>
  </si>
  <si>
    <t>Av. Juan XXIII, 25, Carretera de Cádiz, 29006 Málaga</t>
  </si>
  <si>
    <t>ChIJhyi8J3r3cg0ROfZojggGsN0</t>
  </si>
  <si>
    <t>+34 952 32 60 94</t>
  </si>
  <si>
    <t>https://www.trasterosplus.es/alquiler-trasteros/juan-xxiii/</t>
  </si>
  <si>
    <t>mlg-020</t>
  </si>
  <si>
    <t>Keepy Málaga (Ortega y Gasset)</t>
  </si>
  <si>
    <t>Av. de José Ortega y Gasset, 311, Cruz de Humilladero, 29006 Málaga</t>
  </si>
  <si>
    <t>ChIJ_SXLkFH3cg0RTaDQlGzXDBs</t>
  </si>
  <si>
    <t>+34 695 66 71 53</t>
  </si>
  <si>
    <t>https://www.keepy.es/alquiler-de-trasteros-malaga.php</t>
  </si>
  <si>
    <t>mlg-021</t>
  </si>
  <si>
    <t>Keepy Ciudad Jardín</t>
  </si>
  <si>
    <t>29014</t>
  </si>
  <si>
    <t>C. Tomás Fernández, 4, Cdad. Jardín, 29014 Málaga</t>
  </si>
  <si>
    <t>ChIJB0PwzLT3cg0RzXPtrURW514</t>
  </si>
  <si>
    <t>+34 620 39 85 79</t>
  </si>
  <si>
    <t>https://www.keepy.es/alquiler-de-trasteros-malaga-ciudad-jardin.php</t>
  </si>
  <si>
    <t>mlg-022</t>
  </si>
  <si>
    <t>Keepy La Huertecilla</t>
  </si>
  <si>
    <t>29004</t>
  </si>
  <si>
    <t>Av. de José Ortega y Gasset, 521, Campanillas, 29004 Málaga</t>
  </si>
  <si>
    <t>ChIJv9CUMujxcg0RE0xV2BG_wbQ</t>
  </si>
  <si>
    <t>+34 644 53 00 86</t>
  </si>
  <si>
    <t>https://www.keepy.es/</t>
  </si>
  <si>
    <t>mlg-023</t>
  </si>
  <si>
    <t>Trasteros y Almacenes Málaga (Churriana)</t>
  </si>
  <si>
    <t>C. Esteban Salazar Chapela, 18, Churriana, 29004 Málaga</t>
  </si>
  <si>
    <t>ChIJm9ibV_n5cg0RmhzHhr-lYLo</t>
  </si>
  <si>
    <t>+34 952 24 38 41</t>
  </si>
  <si>
    <t>http://www.trasterosyalmacenes.com/</t>
  </si>
  <si>
    <t>mlg-024</t>
  </si>
  <si>
    <t>Fiero Storage (Churriana)</t>
  </si>
  <si>
    <t>Ctra. Guadalmar, 47, Churriana, 29004 Málaga</t>
  </si>
  <si>
    <t>ChIJRZqcuLP5cg0RPTaUY2ueONI</t>
  </si>
  <si>
    <t>+34 667 91 90 75</t>
  </si>
  <si>
    <t>https://fierostorage.com/trasteros-malaga/</t>
  </si>
  <si>
    <t>mlg-025</t>
  </si>
  <si>
    <t>Islatrans Ceramistas</t>
  </si>
  <si>
    <t>ChIJVVWlLXv3cg0Ra2_pQAjRayE</t>
  </si>
  <si>
    <t>+34 952 64 24 44</t>
  </si>
  <si>
    <t>https://www.islatrans.es/trasteros-en-malaga/</t>
  </si>
  <si>
    <t>mlg-026</t>
  </si>
  <si>
    <t>Trasteros Plus San Millán</t>
  </si>
  <si>
    <t>29013</t>
  </si>
  <si>
    <t>C. San Millán, 15, Distrito Centro, 29013 Málaga</t>
  </si>
  <si>
    <t>ChIJka4x3bj3cg0RORgCDH8hmd0</t>
  </si>
  <si>
    <t>+34 952 13 07 60</t>
  </si>
  <si>
    <t>https://www.trasterosplus.es/alquiler-trasteros/san-millan/</t>
  </si>
  <si>
    <t>mlg-027</t>
  </si>
  <si>
    <t>Trasteros Plus Hermosilla</t>
  </si>
  <si>
    <t>C. San Millán, 5, Distrito Centro, 29013 Málaga</t>
  </si>
  <si>
    <t>ChIJSfieNC_3cg0R578Aqw-2wwY</t>
  </si>
  <si>
    <t>mlg-028</t>
  </si>
  <si>
    <t>Trasteros Plus Los Guindos</t>
  </si>
  <si>
    <t>Av. de los Guindos, 17, Carretera de Cádiz, 29004 Málaga</t>
  </si>
  <si>
    <t>ChIJTX5pNtr5cg0RF2pKRcjqUVo</t>
  </si>
  <si>
    <t>+34 952 17 13 57</t>
  </si>
  <si>
    <t>https://www.trasterosplus.es/alquiler-trasteros/los-guindos/</t>
  </si>
  <si>
    <t>mlg-029</t>
  </si>
  <si>
    <t>Trasteros Aguardar</t>
  </si>
  <si>
    <t>29010</t>
  </si>
  <si>
    <t>ChIJ337HVLH3cg0RF3B-DpV6rBU</t>
  </si>
  <si>
    <t>+34 633 64 86 68</t>
  </si>
  <si>
    <t>mlg-030</t>
  </si>
  <si>
    <t>Trasteros Plus Los Vegas</t>
  </si>
  <si>
    <t>Av. de los Vegas, 20, Cruz de Humilladero, 29006 Málaga</t>
  </si>
  <si>
    <t>ChIJSXkB_bX3cg0RWJFJwS6tCg8</t>
  </si>
  <si>
    <t>+34 952 51 35 04</t>
  </si>
  <si>
    <t>https://www.trasterosplus.es/alquiler-trasteros/los-vegas/</t>
  </si>
  <si>
    <t>mlg-031</t>
  </si>
  <si>
    <t>Trasteros Málaga (Explanada)</t>
  </si>
  <si>
    <t>29002</t>
  </si>
  <si>
    <t>ChIJz4huHGv3cg0RkOE2P1nMS8I</t>
  </si>
  <si>
    <t>+34 698 94 40 74</t>
  </si>
  <si>
    <t>https://www.instagram.com/trastero.malaga</t>
  </si>
  <si>
    <t>mlg-032</t>
  </si>
  <si>
    <t>Trastero.Málaga (José Iturbi)</t>
  </si>
  <si>
    <t>ChIJD4Y7Smv3cg0R8mtiuneO-w8</t>
  </si>
  <si>
    <t>+34 675 28 15 13</t>
  </si>
  <si>
    <t>Alquiler Trasteros Málaga (Urban)</t>
  </si>
  <si>
    <t>29011</t>
  </si>
  <si>
    <t>ChIJzd_tEKH3cg0Rikbn39Eu8fc</t>
  </si>
  <si>
    <t>+34 685 81 67 29</t>
  </si>
  <si>
    <t>https://mitrasterocerca.com/malaga/malaga/</t>
  </si>
  <si>
    <t>mlg-034</t>
  </si>
  <si>
    <t>Trasteros Málaga Capital</t>
  </si>
  <si>
    <t>ChIJKYYO5Mb3cg0R5Y7gboeM7aI</t>
  </si>
  <si>
    <t>+34 951 00 60 00</t>
  </si>
  <si>
    <t>https://trasterosmalagacapital.es/</t>
  </si>
  <si>
    <t>mlg-035</t>
  </si>
  <si>
    <t>Trasteros Urban Málaga</t>
  </si>
  <si>
    <t>C. Tejares, 38, Bailén-Miraflores, 29011 Málaga</t>
  </si>
  <si>
    <t>ChIJM2Pmn173cg0RQetnV50YQpg</t>
  </si>
  <si>
    <t>https://urbantrasterosmalaga.es/</t>
  </si>
  <si>
    <t>mlg-036</t>
  </si>
  <si>
    <t>Islatrans Bailén-Miraflores</t>
  </si>
  <si>
    <t>ChIJQ3ygAur3cg0R_Tqt92NRoN0</t>
  </si>
  <si>
    <t>+34 722 72 37 78</t>
  </si>
  <si>
    <t>https://www.islatrans.es/trasteros-en-bailen-miraflores/</t>
  </si>
  <si>
    <t>mlg-037</t>
  </si>
  <si>
    <t>Trasteros Dan (Ter)</t>
  </si>
  <si>
    <t>Dan</t>
  </si>
  <si>
    <t>ChIJbfV0bj3xcg0R6Q1XcK2O1bo</t>
  </si>
  <si>
    <t>+34 605 70 68 84</t>
  </si>
  <si>
    <t>https://dantrasteros.com/</t>
  </si>
  <si>
    <t>mlg-038</t>
  </si>
  <si>
    <t>Trasteros Málaga Centro</t>
  </si>
  <si>
    <t>ChIJzxgugJD3cg0R889C96U78Sk</t>
  </si>
  <si>
    <t>+34 952 39 14 50</t>
  </si>
  <si>
    <t>http://www.trasterosmalagacentro.es/</t>
  </si>
  <si>
    <t>mlg-039</t>
  </si>
  <si>
    <t>Reva Guardamuebles (Lisboa)</t>
  </si>
  <si>
    <t>Reva</t>
  </si>
  <si>
    <t>C. Lisboa, 37, Cruz de Humilladero, 29006 Málaga</t>
  </si>
  <si>
    <t>ChIJ65IYm7T3cg0Rl_SQIA7QM9U</t>
  </si>
  <si>
    <t>+34 659 74 35 21</t>
  </si>
  <si>
    <t>http://www.guardamueblemalaga.com/</t>
  </si>
  <si>
    <t>mlg-040</t>
  </si>
  <si>
    <t>Trasteros Dan (Corrochano)</t>
  </si>
  <si>
    <t>ChIJEw1ev8Dxcg0RJBRAUKKTpaY</t>
  </si>
  <si>
    <t>mlg-041</t>
  </si>
  <si>
    <t>Islatrans Azucarera</t>
  </si>
  <si>
    <t>ChIJZSKUrQf5cg0RkOXMmHrOEmA</t>
  </si>
  <si>
    <t>+34 951 90 50 30</t>
  </si>
  <si>
    <t>https://www.islatrans.es/mudanzas-en-malaga/</t>
  </si>
  <si>
    <t>mlg-042</t>
  </si>
  <si>
    <t>Reva Mudanzas (Bailén)</t>
  </si>
  <si>
    <t>ChIJn6WIJAX3cg0RCEkItqS9o-Y</t>
  </si>
  <si>
    <t>https://mudanzasreva.com/</t>
  </si>
  <si>
    <t>mlg-043</t>
  </si>
  <si>
    <t>Trasteros Plus La Princesa</t>
  </si>
  <si>
    <t>C. Río Gargáligas, 2, Carretera de Cádiz, 29002 Málaga</t>
  </si>
  <si>
    <t>ChIJj9gDc4L3cg0RhUK-HLkQEUs</t>
  </si>
  <si>
    <t>+34 951 48 07 05</t>
  </si>
  <si>
    <t>https://www.trasterosplus.es/alquiler-trasteros/la-princesa/</t>
  </si>
  <si>
    <t>mlg-044</t>
  </si>
  <si>
    <t>Trasteros Campanillas</t>
  </si>
  <si>
    <t>Cam. Finca La Lira, Campanillas, 29590 Málaga</t>
  </si>
  <si>
    <t>ChIJbwLOeADxcg0RdLAG57BBNuY</t>
  </si>
  <si>
    <t>+34 613 72 70 48</t>
  </si>
  <si>
    <t>http://www.trasteroscampanillas.com/</t>
  </si>
  <si>
    <t>mlg-045</t>
  </si>
  <si>
    <t>Trasteros El Chanquete (Málaga Este)</t>
  </si>
  <si>
    <t>29018</t>
  </si>
  <si>
    <t>C. Caballero del Bosque, Málaga-Este, 29018 Málaga</t>
  </si>
  <si>
    <t>ChIJwXmay3NZcg0ReSeR6D4c2Q0</t>
  </si>
  <si>
    <t>+34 639 10 21 73</t>
  </si>
  <si>
    <t>mlg-046</t>
  </si>
  <si>
    <t>Pizarra</t>
  </si>
  <si>
    <t>29560</t>
  </si>
  <si>
    <t>ChIJl_T7x8jpcg0RQDAjrbPItvk</t>
  </si>
  <si>
    <t>https://www.islatrans.es/alquiler-de-trasteros/</t>
  </si>
  <si>
    <t>mlg-047</t>
  </si>
  <si>
    <t>ChIJq6qq6vLpcg0RSB_vigb4JY8</t>
  </si>
  <si>
    <t>+34 951 26 48 19</t>
  </si>
  <si>
    <t>https://www.islatrans.es/</t>
  </si>
  <si>
    <t>mlg-048</t>
  </si>
  <si>
    <t>uStore-it Alhaurín de la Torre</t>
  </si>
  <si>
    <t>uStore-it</t>
  </si>
  <si>
    <t>Alhaurín de la Torre</t>
  </si>
  <si>
    <t>29130</t>
  </si>
  <si>
    <t>Av. 9 Pol. Ind., 72b, 29130 Alhaurín de la Torre</t>
  </si>
  <si>
    <t>ChIJB16qHen7cg0RXI7nT7ZqzSA</t>
  </si>
  <si>
    <t>+34 951 07 22 02</t>
  </si>
  <si>
    <t>https://ustore-it.eu/location/torremolinos-alhaurin-de-la-torre/</t>
  </si>
  <si>
    <t>mlg-049</t>
  </si>
  <si>
    <t>Mudanzas Transur</t>
  </si>
  <si>
    <t>Av. El Limón, 140, 29130 Alhaurín de la Torre</t>
  </si>
  <si>
    <t>ChIJm7CTOCzlcg0Rm2baUnxha78</t>
  </si>
  <si>
    <t>+34 952 00 52 61</t>
  </si>
  <si>
    <t>https://www.selfstorageenmalaga.com/</t>
  </si>
  <si>
    <t>mlg-050</t>
  </si>
  <si>
    <t>Trasteros Alhaurín el Grande</t>
  </si>
  <si>
    <t>Alhaurín el Grande</t>
  </si>
  <si>
    <t>29120</t>
  </si>
  <si>
    <t>ChIJzZ1ifpL3CG8RRAK-IP4fB18</t>
  </si>
  <si>
    <t>+34 660 51 78 09</t>
  </si>
  <si>
    <t>mlg-051</t>
  </si>
  <si>
    <t>Self Storage Alhaurín</t>
  </si>
  <si>
    <t>C. Rio Guadalmedina, 20, 29120 Alhaurín el Grande</t>
  </si>
  <si>
    <t>ChIJj7eVb-bncg0R6hAhE-0yyV8</t>
  </si>
  <si>
    <t>+34 637 98 06 55</t>
  </si>
  <si>
    <t>http://www.selfstoragealhaurin.com/</t>
  </si>
  <si>
    <t>mlg-052</t>
  </si>
  <si>
    <t>We Store 4 u Self Storage</t>
  </si>
  <si>
    <t>C. Río Fahala, 43, Nave 7, 29120 Alhaurín el Grande</t>
  </si>
  <si>
    <t>ChIJceI9UVjncg0RMs9jHnEcN8o</t>
  </si>
  <si>
    <t>+34 951 56 21 81</t>
  </si>
  <si>
    <t>https://westore4uspain.com/</t>
  </si>
  <si>
    <t>mlg-053</t>
  </si>
  <si>
    <t>Trasteros Plus Coín</t>
  </si>
  <si>
    <t>Coín</t>
  </si>
  <si>
    <t>29100</t>
  </si>
  <si>
    <t>C. Torre de los Trinitarios, 16, 29100 Coín</t>
  </si>
  <si>
    <t>ChIJoWrshFTdcg0ROPs4pBjpW3w</t>
  </si>
  <si>
    <t>+34 951 98 99 37</t>
  </si>
  <si>
    <t>https://www.trasterosplus.es/coin/</t>
  </si>
  <si>
    <t>mlg-054</t>
  </si>
  <si>
    <t>Guardamuebles Coín Reva</t>
  </si>
  <si>
    <t>C. Louis Braille, 24, 29100 Coín</t>
  </si>
  <si>
    <t>ChIJF4ae5tfdcg0RrXTXe3cg4Zo</t>
  </si>
  <si>
    <t>+34 621 28 48 65</t>
  </si>
  <si>
    <t>mlg-055</t>
  </si>
  <si>
    <t>Trasteros Rincón</t>
  </si>
  <si>
    <t>Rincón de la Victoria</t>
  </si>
  <si>
    <t>29730</t>
  </si>
  <si>
    <t>ChIJsYRxr7pbcg0Rr5fqDrsctUU</t>
  </si>
  <si>
    <t>+34 621 12 58 26</t>
  </si>
  <si>
    <t>mlg-056</t>
  </si>
  <si>
    <t>Trasteros Victoria</t>
  </si>
  <si>
    <t>ChIJAem7DsFbcg0Rrlcq75ixWRY</t>
  </si>
  <si>
    <t>+34 633 31 75 53</t>
  </si>
  <si>
    <t>https://trasterosvictoria.wixsite.com/trasterosvictoria</t>
  </si>
  <si>
    <t>mlg-057</t>
  </si>
  <si>
    <t>Naves y Trasteros Rincón (Torre de Benagalbón)</t>
  </si>
  <si>
    <t>29738</t>
  </si>
  <si>
    <t>Torre de Benagalbón</t>
  </si>
  <si>
    <t>ChIJfz5u2ZVbcg0RlXlsxD4PtZc</t>
  </si>
  <si>
    <t>+34 617 25 27 75</t>
  </si>
  <si>
    <t>mlg-058</t>
  </si>
  <si>
    <t>Trasteros Joma</t>
  </si>
  <si>
    <t>ChIJQ3nDYABbcg0RTSeOBq9RtII</t>
  </si>
  <si>
    <t>mlg-059</t>
  </si>
  <si>
    <t>Trasteros Axarquía (Francisco de Goya)</t>
  </si>
  <si>
    <t>Trasteros Axarquía</t>
  </si>
  <si>
    <t>Vélez-Málaga</t>
  </si>
  <si>
    <t>29700</t>
  </si>
  <si>
    <t>C. Francisco de Goya, 31, 29700 Vélez-Málaga</t>
  </si>
  <si>
    <t>ChIJkVAIsBhHcg0Rh3gtsYbIht8</t>
  </si>
  <si>
    <t>+34 951 17 53 12</t>
  </si>
  <si>
    <t>https://www.trasterosaxarquia.com/</t>
  </si>
  <si>
    <t>mlg-060</t>
  </si>
  <si>
    <t>Trasteros Velasco</t>
  </si>
  <si>
    <t>C. Molino Velasco, 5, 29700 Vélez-Málaga</t>
  </si>
  <si>
    <t>ChIJQZ5tOT9Hcg0Ra4M67L3qQ_o</t>
  </si>
  <si>
    <t>+34 616 31 56 56</t>
  </si>
  <si>
    <t>https://www.trasterosvelasco.com/</t>
  </si>
  <si>
    <t>mlg-061</t>
  </si>
  <si>
    <t>Central de Trasteros Vélez</t>
  </si>
  <si>
    <t>Tr. Barrero de Capuchinos, 29700 Vélez-Málaga</t>
  </si>
  <si>
    <t>ChIJYUVLR_lHcg0RGBOSSa9Jc-I</t>
  </si>
  <si>
    <t>+34 676 39 02 64</t>
  </si>
  <si>
    <t>mlg-062</t>
  </si>
  <si>
    <t>Trasteros Axarquía (Axarquia 1)</t>
  </si>
  <si>
    <t>C. Axarquia, 1, 29700 Vélez-Málaga</t>
  </si>
  <si>
    <t>ChIJ80q9aAJHcg0RMhxz82LlpH4</t>
  </si>
  <si>
    <t>+34 646 73 91 17</t>
  </si>
  <si>
    <t>https://trasterosaxarquia.com/</t>
  </si>
  <si>
    <t>mlg-063</t>
  </si>
  <si>
    <t>Trasteros Huerto Carrión</t>
  </si>
  <si>
    <t>ChIJP2xNe1NHcg0RiS7C03kpHZs</t>
  </si>
  <si>
    <t>+34 634 13 85 47</t>
  </si>
  <si>
    <t>mlg-064</t>
  </si>
  <si>
    <t>Trasteros 10 (Torre del Mar)</t>
  </si>
  <si>
    <t>29740</t>
  </si>
  <si>
    <t>Torre del Mar</t>
  </si>
  <si>
    <t>ChIJk54-i31Hcg0R0-NZ02fqVbQ</t>
  </si>
  <si>
    <t>+34 643 67 10 27</t>
  </si>
  <si>
    <t>https://www.trasteros10.com/</t>
  </si>
  <si>
    <t>mlg-065</t>
  </si>
  <si>
    <t>Trasteros Torre del Mar Plazamar</t>
  </si>
  <si>
    <t>C. Pasillo Batería, 9, 29740 Torre del Mar</t>
  </si>
  <si>
    <t>ChIJPQBOpPhHcg0R3JEbAIBojy4</t>
  </si>
  <si>
    <t>+34 691 40 79 35</t>
  </si>
  <si>
    <t>mlg-066</t>
  </si>
  <si>
    <t>Trastum (Torre del Mar)</t>
  </si>
  <si>
    <t>San Andres, 39, 29740 Torre del Mar</t>
  </si>
  <si>
    <t>ChIJkcXyqxuouAIRnvq1UacNk2o</t>
  </si>
  <si>
    <t>+34 601 60 78 74</t>
  </si>
  <si>
    <t>http://www.trastum.com/</t>
  </si>
  <si>
    <t>mlg-067</t>
  </si>
  <si>
    <t>store:it Nerja</t>
  </si>
  <si>
    <t>Nerja</t>
  </si>
  <si>
    <t>29780</t>
  </si>
  <si>
    <t>Pago Castillo Alto 5, Castillo Alto Industrial, 29780 Nerja</t>
  </si>
  <si>
    <t>ChIJ1X6Liiclcg0RAEhLFGpl3fA</t>
  </si>
  <si>
    <t>+34 651 61 15 52</t>
  </si>
  <si>
    <t>http://www.store-it.es/</t>
  </si>
  <si>
    <t>mlg-068</t>
  </si>
  <si>
    <t>Littleweeds Storage Nerja</t>
  </si>
  <si>
    <t>C. Canillas de Albaida, 29780 Nerja</t>
  </si>
  <si>
    <t>ChIJ7UTxDQAlcg0RNVxYbXyix0c</t>
  </si>
  <si>
    <t>+34 693 05 15 15</t>
  </si>
  <si>
    <t>mlg-069</t>
  </si>
  <si>
    <t>Abilplus Marbella</t>
  </si>
  <si>
    <t>Marbella</t>
  </si>
  <si>
    <t>29601</t>
  </si>
  <si>
    <t>Av. Ricardo Soriano, 72, 3ºH, 29601 Marbella</t>
  </si>
  <si>
    <t>ChIJg-T8JODXcg0RcAa2tKzZGuw</t>
  </si>
  <si>
    <t>+34 600 98 18 72</t>
  </si>
  <si>
    <t>https://www.guardamueblesmalaga.eu/</t>
  </si>
  <si>
    <t>mlg-070</t>
  </si>
  <si>
    <t>Trasteros Marbella</t>
  </si>
  <si>
    <t>29603</t>
  </si>
  <si>
    <t>Cam. Viejo de Ojén, 29603 Marbella</t>
  </si>
  <si>
    <t>ChIJCRikEv3Zcg0RKsw4kDOIvIY</t>
  </si>
  <si>
    <t>+34 686 40 51 72</t>
  </si>
  <si>
    <t>http://trasterosmarbella.es/</t>
  </si>
  <si>
    <t>mlg-071</t>
  </si>
  <si>
    <t>Rent a Space Marbella</t>
  </si>
  <si>
    <t>C. Carbón, 10, 29603 Marbella</t>
  </si>
  <si>
    <t>ChIJX9IT-OMncw0RYKqu85xSYQc</t>
  </si>
  <si>
    <t>+34 672 57 96 60</t>
  </si>
  <si>
    <t>https://www.rentaspacemarbella.com/</t>
  </si>
  <si>
    <t>mlg-072</t>
  </si>
  <si>
    <t>Keepy Marbella</t>
  </si>
  <si>
    <t>Pol. Ind. La Ermita, Calle Pirita, 19, 29603 Marbella</t>
  </si>
  <si>
    <t>ChIJ_7_F_rPZcg0RW2qjWudDx_M</t>
  </si>
  <si>
    <t>+34 952 60 54 53</t>
  </si>
  <si>
    <t>http://www.keepy.es/</t>
  </si>
  <si>
    <t>mlg-073</t>
  </si>
  <si>
    <t>Secure Self Storage (Marbella)</t>
  </si>
  <si>
    <t>29604</t>
  </si>
  <si>
    <t>ChIJ1xAMV_chcw0R8-XtpXGCeyg</t>
  </si>
  <si>
    <t>+34 636 93 14 20</t>
  </si>
  <si>
    <t>https://www.secureselfstorage.es/</t>
  </si>
  <si>
    <t>mlg-074</t>
  </si>
  <si>
    <t>Marbella Self-Storage (Nueva Andalucía)</t>
  </si>
  <si>
    <t>29660</t>
  </si>
  <si>
    <t>Av. Valle Inclán, 28, Nueva Andalucía, 29660 Marbella</t>
  </si>
  <si>
    <t>ChIJceNspgEqcw0RpzLt7F1XS2s</t>
  </si>
  <si>
    <t>+34 952 81 13 11</t>
  </si>
  <si>
    <t>http://marbellaselfstorage.com/</t>
  </si>
  <si>
    <t>mlg-075</t>
  </si>
  <si>
    <t>Viking Self Storage (San Pedro)</t>
  </si>
  <si>
    <t>29670</t>
  </si>
  <si>
    <t>C. Eslovaquia, 11, 29670 Marbella</t>
  </si>
  <si>
    <t>ChIJg5WHtOQrcw0R5fVvus-5yQI</t>
  </si>
  <si>
    <t>+34 620 31 80 13</t>
  </si>
  <si>
    <t>https://vikingselfstorage.es/</t>
  </si>
  <si>
    <t>mlg-076</t>
  </si>
  <si>
    <t>Full Storage 1 (San Pedro)</t>
  </si>
  <si>
    <t>Full Storage</t>
  </si>
  <si>
    <t>C. Luxemburgo, 26, 29670 Marbella</t>
  </si>
  <si>
    <t>ChIJax8AzVErcw0RyNimH2nfyNM</t>
  </si>
  <si>
    <t>+34 664 31 11 94</t>
  </si>
  <si>
    <t>http://www.full-storage.com/</t>
  </si>
  <si>
    <t>mlg-077</t>
  </si>
  <si>
    <t>Full Storage 3 (San Pedro)</t>
  </si>
  <si>
    <t>C. Malta, 4, 29670 San Pedro Alcántara</t>
  </si>
  <si>
    <t>ChIJhySPM4Urcw0RGIFdO_T62wU</t>
  </si>
  <si>
    <t>+34 612 28 22 46</t>
  </si>
  <si>
    <t>https://www.full-storage.com/</t>
  </si>
  <si>
    <t>mlg-078</t>
  </si>
  <si>
    <t>Blue Stripe Storage (Marbella)</t>
  </si>
  <si>
    <t>C. Malta, 12, 29670 Marbella</t>
  </si>
  <si>
    <t>ChIJkYmA_1Yrcw0RLTa4TrPm-Ys</t>
  </si>
  <si>
    <t>+34 678 48 88 88</t>
  </si>
  <si>
    <t>http://www.bluestripestorage.com/</t>
  </si>
  <si>
    <t>mlg-079</t>
  </si>
  <si>
    <t>uStore-it San Pedro</t>
  </si>
  <si>
    <t>C. Finlandia, 7, 29670 Marbella</t>
  </si>
  <si>
    <t>ChIJHxfex_Yrcw0R-CgTwQhlVK0</t>
  </si>
  <si>
    <t>+34 951 40 40 06</t>
  </si>
  <si>
    <t>https://www.ustore-it.eu/san-pedro/</t>
  </si>
  <si>
    <t>mlg-080</t>
  </si>
  <si>
    <t>WARDA San Pedro</t>
  </si>
  <si>
    <t>WARDA</t>
  </si>
  <si>
    <t>C. Sevilla, 24, 29670 San Pedro Alcántara</t>
  </si>
  <si>
    <t>ChIJxzr7p9Ercw0R6_rIRhHMIyw</t>
  </si>
  <si>
    <t>+34 670 35 03 50</t>
  </si>
  <si>
    <t>http://www.warda-trasteros.com/</t>
  </si>
  <si>
    <t>mlg-081</t>
  </si>
  <si>
    <t>Easy Store (San Pedro)</t>
  </si>
  <si>
    <t>Calle Juan Illesca Pavón, 23-21, 29670 San Pedro Alcántara</t>
  </si>
  <si>
    <t>ChIJ387cdR8rcw0RKOuPdNmH7io</t>
  </si>
  <si>
    <t>+34 634 02 22 20</t>
  </si>
  <si>
    <t>https://www.1easystore.com/</t>
  </si>
  <si>
    <t>mlg-082</t>
  </si>
  <si>
    <t>Marbella Storage</t>
  </si>
  <si>
    <t>29688</t>
  </si>
  <si>
    <t>Av. Matas Verdes, 2E, 29688 Marbella</t>
  </si>
  <si>
    <t>ChIJPVAUx2Ercw0RrKT5rwxIW6M</t>
  </si>
  <si>
    <t>+34 696 03 23 21</t>
  </si>
  <si>
    <t>https://marbellastorage.com/</t>
  </si>
  <si>
    <t>mlg-083</t>
  </si>
  <si>
    <t>Imushu Estepona</t>
  </si>
  <si>
    <t>Estepona</t>
  </si>
  <si>
    <t>29680</t>
  </si>
  <si>
    <t>Cam. de Montesol, 8, 29680 Estepona</t>
  </si>
  <si>
    <t>ChIJPebcqcfVDA0R63lR_r4Znn4</t>
  </si>
  <si>
    <t>+34 951 20 47 78</t>
  </si>
  <si>
    <t>http://www.imushu.es/</t>
  </si>
  <si>
    <t>mlg-084</t>
  </si>
  <si>
    <t>Keepy Estepona</t>
  </si>
  <si>
    <t>Av. Andalucía, 165, 29680 Estepona</t>
  </si>
  <si>
    <t>ChIJG3FKXpnXDA0RWMkHffBIHOI</t>
  </si>
  <si>
    <t>+34 952 71 57 22</t>
  </si>
  <si>
    <t>https://www.keepy.es/alquiler-de-trasteros-estepona.php</t>
  </si>
  <si>
    <t>mlg-085</t>
  </si>
  <si>
    <t>Self Storage RITZ</t>
  </si>
  <si>
    <t>Calle Quilate 74, 29680 Estepona</t>
  </si>
  <si>
    <t>ChIJAQAAAKXWDA0RACuygctSCEw</t>
  </si>
  <si>
    <t>+34 952 79 66 11</t>
  </si>
  <si>
    <t>http://storagecosta.com/</t>
  </si>
  <si>
    <t>mlg-086</t>
  </si>
  <si>
    <t>WARDA Estepona</t>
  </si>
  <si>
    <t>Urb. Estepona Garden, C. Virgen de la Cabeza, 9, 29680 Estepona</t>
  </si>
  <si>
    <t>ChIJa1hhKd3XDA0RHrj33dQneW0</t>
  </si>
  <si>
    <t>https://www.warda-trasteros.com/</t>
  </si>
  <si>
    <t>mlg-087</t>
  </si>
  <si>
    <t>Necesito Un Trastero (Estepona)</t>
  </si>
  <si>
    <t>C. Ibiza, 7, 29680 Estepona</t>
  </si>
  <si>
    <t>ChIJA9MBGrzXDA0Rq3o3hVH4N8E</t>
  </si>
  <si>
    <t>+34 900 811 646</t>
  </si>
  <si>
    <t>https://necesitountrastero.es/alquiler-de-trasteros-en-estepona/</t>
  </si>
  <si>
    <t>mlg-088</t>
  </si>
  <si>
    <t>Storador SL (Estepona)</t>
  </si>
  <si>
    <t>C. Einstein, 10, Poligono Ind, 29680 Estepona</t>
  </si>
  <si>
    <t>ChIJPypKuPDXDA0R0SRyz2S9pVE</t>
  </si>
  <si>
    <t>+34 696 57 80 24</t>
  </si>
  <si>
    <t>http://www.storadorsl.com/</t>
  </si>
  <si>
    <t>mlg-089</t>
  </si>
  <si>
    <t>Full Storage (Estepona)</t>
  </si>
  <si>
    <t>C. Gaudí, 10, 29680 Estepona</t>
  </si>
  <si>
    <t>ChIJ0z_iLtTXDA0Ro4ypCNeKhjg</t>
  </si>
  <si>
    <t>mlg-090</t>
  </si>
  <si>
    <t>Trasteros Simón (Estepona)</t>
  </si>
  <si>
    <t>C. Juan de Herrera, 42, 29680 Estepona</t>
  </si>
  <si>
    <t>ChIJD3_fOMbXDA0RKzTR-zEH65U</t>
  </si>
  <si>
    <t>+34 659 06 36 15</t>
  </si>
  <si>
    <t>http://simontrasteros.com/</t>
  </si>
  <si>
    <t>mlg-091</t>
  </si>
  <si>
    <t>Haz Espacio Estepona</t>
  </si>
  <si>
    <t>C. Marconi, 17, 29680 Estepona</t>
  </si>
  <si>
    <t>ChIJ2cuh89HXDA0R2ccTcBlQgsU</t>
  </si>
  <si>
    <t>+34 649 88 84 04</t>
  </si>
  <si>
    <t>https://www.hazespacio.com/</t>
  </si>
  <si>
    <t>mlg-092</t>
  </si>
  <si>
    <t>Storage Depot (Manilva)</t>
  </si>
  <si>
    <t>Manilva</t>
  </si>
  <si>
    <t>29691</t>
  </si>
  <si>
    <t>C. Panadero, 39-41, 29691 Manilva</t>
  </si>
  <si>
    <t>ChIJmZEx50LbDA0RpkKgfoXf1ZE</t>
  </si>
  <si>
    <t>+34 600 97 70 92</t>
  </si>
  <si>
    <t>https://www.storagedepot.es/</t>
  </si>
  <si>
    <t>mlg-093</t>
  </si>
  <si>
    <t>uStore-it Manilva</t>
  </si>
  <si>
    <t>C. del Constructor, 45, 47, 29691 Manilva</t>
  </si>
  <si>
    <t>ChIJhZ1bvOrbDA0RdeH7bn9LNjs</t>
  </si>
  <si>
    <t>+34 951 97 22 96</t>
  </si>
  <si>
    <t>http://www.ustore-it.es/</t>
  </si>
  <si>
    <t>mlg-094</t>
  </si>
  <si>
    <t>Costa Del Storage (Manilva)</t>
  </si>
  <si>
    <t>C. Panadero, 18, 29691 Manilva</t>
  </si>
  <si>
    <t>ChIJfakZ1EjbDA0RCZAqnEV-IKg</t>
  </si>
  <si>
    <t>+34 633 58 30 55</t>
  </si>
  <si>
    <t>https://www.costadelstorage.com/</t>
  </si>
  <si>
    <t>mlg-095</t>
  </si>
  <si>
    <t>Trasteros Ya (Sabinillas)</t>
  </si>
  <si>
    <t>29692</t>
  </si>
  <si>
    <t>C. Jamaica, 29692 Manilva</t>
  </si>
  <si>
    <t>ChIJe3_JRgDbDA0RqdxR9imXaYo</t>
  </si>
  <si>
    <t>+34 683 39 35 70</t>
  </si>
  <si>
    <t>http://www.trasterosya.com/</t>
  </si>
  <si>
    <t>mlg-096</t>
  </si>
  <si>
    <t>Manilva Beach Box</t>
  </si>
  <si>
    <t>C. Ramón Y Cajal, 4, 29692 San Luis de Sabinillas</t>
  </si>
  <si>
    <t>ChIJlSnqFHzbDA0REZX-GZGtN1k</t>
  </si>
  <si>
    <t>+34 663 40 21 54</t>
  </si>
  <si>
    <t>https://habitatisalgeciras.com/</t>
  </si>
  <si>
    <t>mlg-097</t>
  </si>
  <si>
    <t>Guardamuebles Sotogrande (El Secadero)</t>
  </si>
  <si>
    <t>Casares</t>
  </si>
  <si>
    <t>C. Gaucin, 29692 El Secadero</t>
  </si>
  <si>
    <t>ChIJXYwfrqHcDA0RAWoPE-Mtl2c</t>
  </si>
  <si>
    <t>+34 952 85 40 28</t>
  </si>
  <si>
    <t>https://guarda-muebles.com/</t>
  </si>
  <si>
    <t>mlg-098</t>
  </si>
  <si>
    <t>Serranía Trasteros</t>
  </si>
  <si>
    <t>Ronda</t>
  </si>
  <si>
    <t>29400</t>
  </si>
  <si>
    <t>C. Pintor Jesús González de la Torre, 1, Local 4, 29400 Ronda</t>
  </si>
  <si>
    <t>ChIJbX1z1JwxDQ0RI29tqAL3t10</t>
  </si>
  <si>
    <t>+34 722 63 03 12</t>
  </si>
  <si>
    <t>https://www.facebook.com/profile.php?id=61553383076875</t>
  </si>
  <si>
    <t>mlg-099</t>
  </si>
  <si>
    <t>Trasteros Ronda</t>
  </si>
  <si>
    <t>C. Juan José de Puya, 12, 29400 Ronda</t>
  </si>
  <si>
    <t>ChIJCRr2XHsxDQ0RWaQ__Veyk8g</t>
  </si>
  <si>
    <t>+34 951 20 49 60</t>
  </si>
  <si>
    <t>https://trasterosronda.com/</t>
  </si>
  <si>
    <t>Brand</t>
  </si>
  <si>
    <t># sites</t>
  </si>
  <si>
    <t>Website(s) to check first</t>
  </si>
  <si>
    <t>Notes</t>
  </si>
  <si>
    <t>56 facilities — each needs its own research. Use Catastro for these.</t>
  </si>
  <si>
    <t>https://www.trasterosplus.es/</t>
  </si>
  <si>
    <t>Has per-location pages; look under 'Nuestros centros' or each ficha for m² / unit counts.</t>
  </si>
  <si>
    <t>Facility pages usually list total m² and number of units per size band.</t>
  </si>
  <si>
    <t>https://www.islatrans.com/</t>
  </si>
  <si>
    <t>Primarily moving/guardamuebles — area may be published as volume (m³) rather than m².</t>
  </si>
  <si>
    <t>https://trasteroz.com/</t>
  </si>
  <si>
    <t>Small chain; each location has its own page.</t>
  </si>
  <si>
    <t>https://www.easybox.es/</t>
  </si>
  <si>
    <t>Check 'Centros' list.</t>
  </si>
  <si>
    <t>https://reva.es/</t>
  </si>
  <si>
    <t>Smaller regional operator.</t>
  </si>
  <si>
    <t>https://www.ustore-it.com/</t>
  </si>
  <si>
    <t>Largest purpose-built facilities in the sample — typically multi-floor, 2,000+ m².</t>
  </si>
  <si>
    <t>https://www.fullstorage.es/</t>
  </si>
  <si>
    <t>Check 'Ubicaciones'.</t>
  </si>
  <si>
    <t>Search for 'Dan Storage' or 'Dan Trastero' + Málaga; 2 sites — may be independent.</t>
  </si>
  <si>
    <t>Regional chain covering the Axarquía (Vélez-Málaga area) — likely guardamuebles.</t>
  </si>
  <si>
    <t>2 facilities — check if single-owner local operator.</t>
  </si>
  <si>
    <t>Catastro (fallback)</t>
  </si>
  <si>
    <t>https://www.sedecatastro.gob.es/</t>
  </si>
  <si>
    <t>Consulta por localización → superficie construida. Copy Referencia Catastral into notes.</t>
  </si>
  <si>
    <t>medium</t>
  </si>
  <si>
    <t>Camino Viejo de Coín, 14, 29651 Las Lagunas de Mijas</t>
  </si>
  <si>
    <t>https://www1.sedecatastro.gob.es/CYCBienInmueble/OVCConCiud.aspx?UrbRus=U&amp;RefC=4053212UF5445S0001PW&amp;RCCompleta=&amp;via=VIEJO@DE@COIN&amp;tipoVia=CM&amp;numero=14&amp;kilometro=&amp;bloque=&amp;escalera=&amp;planta=&amp;puerta=&amp;DescProv=MALAGA&amp;prov=29&amp;muni=70&amp;DescMuni=MIJAS&amp;TipUR=U&amp;codvia=158&amp;comVia=VIEJO%20DE%20COIN%20(CAMINO,%20CARMEN)&amp;pest=urbana&amp;from=OVCBusqueda&amp;del=29&amp;mun=70</t>
  </si>
  <si>
    <t>https://www1.sedecatastro.gob.es/CYCBienInmueble/OVCListaBienes.aspx?via=VIRGEN@DE@FATIMA&amp;tipoVia=CL&amp;numero=1&amp;kilometro=&amp;bloque=&amp;escalera=&amp;planta=&amp;puerta=&amp;DescProv=MALAGA&amp;prov=29&amp;muni=70&amp;DescMuni=MIJAS&amp;TipUR=U&amp;codvia=429&amp;comVia=VIRGEN%20DE%20FATIMA%20(CALLE)&amp;pest=urbana&amp;from=OVCBusqueda&amp;nomusu=%20&amp;tipousu=&amp;ZV=NO&amp;ZR=NO&amp;anyoZV=&amp;tematicos=&amp;anyotem=&amp;historica=&amp;coordinadas=&amp;antecedentes=</t>
  </si>
  <si>
    <t>https://www1.sedecatastro.gob.es/CYCBienInmueble/OVCConCiud.aspx?del=29&amp;mun=103&amp;UrbRus=U&amp;RefC=4730207UF6543S0001SI&amp;Apenom=&amp;esBice=&amp;RCBice1=&amp;RCBice2=&amp;DenoBice=&amp;from=nuevoVisor&amp;ZV=NO&amp;anyoZV=</t>
  </si>
  <si>
    <t>high</t>
  </si>
  <si>
    <t>Albano</t>
  </si>
  <si>
    <t>https://www1.sedecatastro.gob.es/Cartografia/mapa.aspx?via=SAN@MILLAN&amp;tipoVia=CL&amp;numero=15&amp;kilometro=&amp;bloque=&amp;escalera=&amp;planta=&amp;puerta=&amp;DescProv=MALAGA&amp;prov=29&amp;muni=900&amp;DescMuni=MALAGA&amp;TipUR=U&amp;codvia=1188&amp;comVia=SAN%20MILLAN%20(CALLE)&amp;pest=urbana&amp;from=OVCBusqueda&amp;nomusu=%20&amp;tipousu=&amp;ZV=NO&amp;ZR=NO&amp;anyoZV=&amp;tematicos=&amp;anyotem=&amp;historica=&amp;coordinadas=&amp;antecedentes=&amp;cartografia=True&amp;ListaBienes=TRUE</t>
  </si>
  <si>
    <t>https://www1.sedecatastro.gob.es/CYCBienInmueble/OVCListaBienes.aspx?via=SAN@MILLAN&amp;tipoVia=CL&amp;numero=5&amp;kilometro=&amp;bloque=&amp;escalera=&amp;planta=&amp;puerta=&amp;DescProv=MALAGA&amp;prov=29&amp;muni=900&amp;DescMuni=MALAGA&amp;TipUR=U&amp;codvia=1188&amp;comVia=SAN%20MILLAN%20(CALLE)&amp;pest=urbana&amp;from=OVCBusqueda&amp;nomusu=%20&amp;tipousu=&amp;ZV=NO&amp;ZR=NO&amp;anyoZV=&amp;tematicos=&amp;anyotem=&amp;historica=&amp;coordinadas=&amp;antecedentes=</t>
  </si>
  <si>
    <t>https://www1.sedecatastro.gob.es/CYCBienInmueble/OVCConCiud.aspx?UrbRus=U&amp;RefC=0520224UF7602S0001JG&amp;RCCompleta=&amp;via=GUINDOS@LOS&amp;tipoVia=AV&amp;numero=17&amp;kilometro=&amp;bloque=&amp;escalera=&amp;planta=&amp;puerta=&amp;DescProv=MALAGA&amp;prov=29&amp;muni=900&amp;DescMuni=MALAGA&amp;TipUR=U&amp;codvia=4590&amp;comVia=GUINDOS%20LOS%20(AVENIDA,%20AVINGUDA)&amp;pest=urbana&amp;from=OVCBusqueda&amp;del=29&amp;mun=900</t>
  </si>
  <si>
    <t>seems small from the storefront</t>
  </si>
  <si>
    <t>https://www1.sedecatastro.gob.es/CYCBienInmueble/OVCListaBienes.aspx?via=RIO@GARGALIGA&amp;tipoVia=CL&amp;numero=2&amp;kilometro=&amp;bloque=&amp;escalera=&amp;planta=&amp;puerta=&amp;DescProv=MALAGA&amp;prov=29&amp;muni=900&amp;DescMuni=MALAGA&amp;TipUR=U&amp;codvia=3673&amp;comVia=RIO%20GARGALIGA%20(CALLE)&amp;pest=urbana&amp;from=OVCBusqueda&amp;nomusu=%20&amp;tipousu=&amp;ZV=NO&amp;ZR=NO&amp;anyoZV=&amp;tematicos=&amp;anyotem=&amp;historica=&amp;coordinadas=&amp;antecedentes=</t>
  </si>
  <si>
    <t>took out the declared commercial area, since the each individual box was already categorised as Almacén-Estacionamiento</t>
  </si>
  <si>
    <t>https://www1.sedecatastro.gob.es/CYCBienInmueble/OVCListaBienes.aspx?RC1=2785701&amp;RC2=UF4528N&amp;RC3=&amp;RC4=&amp;esBice=&amp;RCBice1=&amp;RCBice2=&amp;DenoBice=&amp;pest=rc&amp;final=&amp;RCCompleta=2785701UF4528N&amp;from=OVCBusqueda&amp;tipoCarto=nuevo&amp;ZV=NO&amp;ZR=NO&amp;anyoZV=&amp;strFechaVR=&amp;tematicos=&amp;anyotem=&amp;historica=&amp;coordinadas=&amp;antecedentes=</t>
  </si>
  <si>
    <t>low</t>
  </si>
  <si>
    <t>used all the Almacén-Estacionamiento on the building. Not 100% sure this is the right building (Catastro has this road as in construction) and their google maps pin is in the wrong spot. Not all Almacén-Estacionamiento might be theirs, maybe just part of it?</t>
  </si>
  <si>
    <t>https://www1.sedecatastro.gob.es/CYCBienInmueble/OVCConCiud.aspx?UrbRus=U&amp;RefC=7741115UF6674S0001JL&amp;RCCompleta=2785701UF4528N&amp;via=TER&amp;tipoVia=CL&amp;numero=36&amp;kilometro=&amp;bloque=&amp;escalera=&amp;planta=&amp;puerta=&amp;DescProv=MALAGA&amp;prov=29&amp;muni=900&amp;DescMuni=MALAGA&amp;TipUR=U&amp;codvia=2784&amp;comVia=TER%20(CALLE)&amp;pest=urbana&amp;from=OVCBusqueda&amp;del=29&amp;mun=900</t>
  </si>
  <si>
    <t>Considered the whole builing</t>
  </si>
  <si>
    <t>C. Ter, 36, Cruz de Humilladero, 29006</t>
  </si>
  <si>
    <t>C. de Alfredo Corrochano, n° 135, Cruz de Humilladero, 29006</t>
  </si>
  <si>
    <t>https://www1.sedecatastro.gob.es/Cartografia/mapa.aspx?pest=urbana&amp;from=OVCBusqueda&amp;ZV=NO&amp;ZR=NO&amp;anyoZV=&amp;tematicos=&amp;anyotem=&amp;historica=&amp;coordinadas=&amp;antecedentes=&amp;RCCompleta=&amp;via=ALFREDO%20CORROCHANO&amp;tipoVia=CL&amp;numero=&amp;kilometro=&amp;bloque=&amp;escalera=&amp;planta=&amp;puerta=&amp;DescProv=MALAGA&amp;prov=29&amp;muni=900&amp;DescMuni=MALAGA&amp;TipUR=U&amp;codvia=4695&amp;comVia=ALFREDO%20CORROCHANO%20(CALLE)&amp;tc=U&amp;del=29&amp;mun=900</t>
  </si>
  <si>
    <t>The floor plan  for 135 does not exist in catastro. I estimated it would be the same as 131.</t>
  </si>
  <si>
    <t>https://www1.sedecatastro.gob.es/CYCBienInmueble/OVCListaBienes.aspx?RC1=3512302&amp;RC2=UF6531S&amp;RC3=&amp;RC4=&amp;esBice=&amp;RCBice1=&amp;RCBice2=&amp;DenoBice=&amp;pest=rc&amp;final=&amp;RCCompleta=3512302UF6531S&amp;from=OVCBusqueda&amp;tipoCarto=nuevo&amp;ZV=NO&amp;ZR=NO&amp;anyoZV=&amp;strFechaVR=&amp;tematicos=&amp;anyotem=&amp;historica=&amp;coordinadas=&amp;antecedentes=</t>
  </si>
  <si>
    <t>https://www1.sedecatastro.gob.es/CYCBienInmueble/OVCListaBienes.aspx?RC1=7602309&amp;RC2=UF5570S&amp;RC3=&amp;RC4=&amp;esBice=&amp;RCBice1=&amp;RCBice2=&amp;DenoBice=&amp;pest=rc&amp;final=&amp;RCCompleta=7602309UF5570S&amp;from=OVCBusqueda&amp;tipoCarto=nuevo&amp;ZV=NO&amp;ZR=NO&amp;anyoZV=&amp;strFechaVR=&amp;tematicos=&amp;anyotem=&amp;historica=&amp;coordinadas=&amp;antecedentes=</t>
  </si>
  <si>
    <t>Downloaded the building floor plan and considered the two basements as storage.</t>
  </si>
  <si>
    <t>https://www1.sedecatastro.gob.es/CYCBienInmueble/OVCListaBienes.aspx?RC1=1411601&amp;RC2=UF2411S&amp;RC3=&amp;RC4=&amp;esBice=&amp;RCBice1=&amp;RCBice2=&amp;DenoBice=&amp;pest=rc&amp;final=&amp;RCCompleta=1411601UF2411S&amp;from=OVCBusqueda&amp;tipoCarto=nuevo&amp;ZV=NO&amp;ZR=NO&amp;anyoZV=&amp;strFechaVR=&amp;tematicos=&amp;anyotem=&amp;historica=&amp;coordinadas=&amp;antecedentes=</t>
  </si>
  <si>
    <t>https://www1.sedecatastro.gob.es/CYCBienInmueble/OVCListaBienes.aspx?RC1=1611601&amp;RC2=UF2411S&amp;RC3=&amp;RC4=&amp;esBice=&amp;RCBice1=&amp;RCBice2=&amp;DenoBice=&amp;pest=rc&amp;final=&amp;RCCompleta=1611601UF2411S&amp;from=OVCBusqueda&amp;tipoCarto=nuevo&amp;ZV=NO&amp;ZR=NO&amp;anyoZV=&amp;strFechaVR=&amp;tematicos=&amp;anyotem=&amp;historica=&amp;coordinadas=&amp;antecedentes=</t>
  </si>
  <si>
    <t>https://www1.sedecatastro.gob.es/CYCBienInmueble/OVCConCiud.aspx?del=29&amp;mun=51&amp;UrbRus=U&amp;RefC=5840205UF0354S0001AH&amp;Apenom=&amp;esBice=&amp;RCBice1=&amp;RCBice2=&amp;DenoBice=&amp;from=nuevoVisor&amp;ZV=NO&amp;anyoZV=</t>
  </si>
  <si>
    <t>https://www1.sedecatastro.gob.es/CYCBienInmueble/OVCListaBienes.aspx?RC1=5023301&amp;RC2=UF6552S&amp;RC3=&amp;RC4=&amp;esBice=&amp;RCBice1=&amp;RCBice2=&amp;DenoBice=&amp;pest=rc&amp;final=&amp;RCCompleta=5023301UF6552S&amp;from=OVCBusqueda&amp;tipoCarto=nuevo&amp;ZV=NO&amp;ZR=NO&amp;anyoZV=&amp;strFechaVR=&amp;tematicos=&amp;anyotem=&amp;historica=&amp;coordinadas=&amp;antecedentes=</t>
  </si>
  <si>
    <t>Assumed it was the lowest commercial area available in the building.</t>
  </si>
  <si>
    <t>C. Ceramistas, 11, Málaga</t>
  </si>
  <si>
    <t>https://www1.sedecatastro.gob.es/Cartografia/mapa.aspx?del=29&amp;mun=900&amp;refcat=0634112UF7603S&amp;Xcentro=370610.667201569&amp;Ycentro=4063284.06911697&amp;from=OVCBusqueda&amp;final=&amp;pest=coordenadas&amp;latitud=36.7064281&amp;longitud=-4.4486089&amp;gradoslat=&amp;minlat=&amp;seglat=&amp;gradoslon=&amp;minlon=&amp;seglon=&amp;x=&amp;y=&amp;huso=0&amp;tipoCoordenadas=2&amp;ZV=NO&amp;ZR=NO&amp;anyoZV=&amp;tematicos=&amp;anyotem=&amp;historica=&amp;coordinadas=&amp;antecedentes=</t>
  </si>
  <si>
    <t>Four side by side buildings</t>
  </si>
  <si>
    <t>C. Moraima, 6, Bailén-Miraflores</t>
  </si>
  <si>
    <t>https://www1.sedecatastro.gob.es/CYCBienInmueble/OVCListaBienes.aspx?RC1=1757114&amp;RC2=UF7615N&amp;RC3=&amp;RC4=&amp;esBice=&amp;RCBice1=&amp;RCBice2=&amp;DenoBice=&amp;pest=rc&amp;final=&amp;RCCompleta=1757114UF7615N&amp;from=OVCBusqueda&amp;tipoCarto=nuevo&amp;ZV=NO&amp;ZR=NO&amp;anyoZV=&amp;strFechaVR=&amp;tematicos=&amp;anyotem=&amp;historica=&amp;coordinadas=&amp;antecedentes=</t>
  </si>
  <si>
    <t>C. Almáchar, 9, Carretera de Cádiz</t>
  </si>
  <si>
    <t>https://www1.sedecatastro.gob.es/CYCBienInmueble/OVCConCiud.aspx?UrbRus=U&amp;RefC=9208116UF6690N0001PB&amp;esBice=&amp;RCBice1=&amp;RCBice2=&amp;DenoBice=&amp;from=OVCBusqueda&amp;pest=rc&amp;RCCompleta=9208116UF6690N&amp;final=&amp;del=29&amp;mun=900</t>
  </si>
  <si>
    <t>https://www1.sedecatastro.gob.es/CYCBienInmueble/OVCConCiud.aspx?del=29&amp;mun=80&amp;UrbRus=R&amp;RefC=29080A016000150000AR&amp;Apenom=&amp;esBice=&amp;RCBice1=&amp;RCBice2=&amp;DenoBice=&amp;from=nuevoVisor&amp;ZV=NO&amp;anyoZV=</t>
  </si>
  <si>
    <t>They own the full area and the bits added as almacen where summed here.</t>
  </si>
  <si>
    <t>Islatrans, Mudanzas, Alquiler de trasteros, Guardamuebles en Malaga.</t>
  </si>
  <si>
    <t>Crta A-357 km 43,8</t>
  </si>
  <si>
    <t>Only the north building counts.</t>
  </si>
  <si>
    <t>Islatrans Málaga - Mudanzas - guardamuebles y Alquiler de trasteros Málaga)</t>
  </si>
  <si>
    <t>Crta, A-357, km 41</t>
  </si>
  <si>
    <t>https://www1.sedecatastro.gob.es/CYCBienInmueble/OVCConCiud.aspx?del=29&amp;mun=80&amp;UrbRus=R&amp;RefC=29080A022000710000AM&amp;Apenom=&amp;esBice=&amp;RCBice1=&amp;RCBice2=&amp;DenoBice=&amp;from=nuevoVisor&amp;ZV=NO&amp;anyoZV=</t>
  </si>
  <si>
    <t>https://www1.sedecatastro.gob.es/CYCBienInmueble/OVCConCiud.aspx?UrbRus=U&amp;RefC=3654218UF5435S0001IZ&amp;esBice=&amp;RCBice1=&amp;RCBice2=&amp;DenoBice=&amp;from=OVCBusqueda&amp;pest=rc&amp;RCCompleta=3654218UF5435S&amp;final=&amp;del=29&amp;mun=70</t>
  </si>
  <si>
    <t>https://www1.sedecatastro.gob.es/CYCBienInmueble/OVCConCiud.aspx?del=29&amp;mun=900&amp;UrbRus=U&amp;RefC=8535103UF6683N0001LZ&amp;Apenom=&amp;esBice=&amp;RCBice1=&amp;RCBice2=&amp;DenoBice=&amp;from=nuevoVisor&amp;ZV=NO&amp;anyoZV=</t>
  </si>
  <si>
    <t>https://www1.sedecatastro.gob.es/CYCBienInmueble/OVCConCiud.aspx?del=29&amp;mun=900&amp;UrbRus=U&amp;RefC=3174301UF7637S0001LB&amp;Apenom=&amp;esBice=&amp;RCBice1=&amp;RCBice2=&amp;DenoBice=&amp;from=nuevoVisor&amp;ZV=NO&amp;anyoZV=</t>
  </si>
  <si>
    <t>https://www1.sedecatastro.gob.es/CYCBienInmueble/OVCListaBienes.aspx?RC1=5235119&amp;RC2=UF6653N&amp;RC3=&amp;RC4=&amp;esBice=&amp;RCBice1=&amp;RCBice2=&amp;DenoBice=&amp;pest=rc&amp;final=&amp;RCCompleta=5235119UF6653N&amp;from=OVCBusqueda&amp;tipoCarto=nuevo&amp;ZV=NO&amp;ZR=NO&amp;anyoZV=&amp;strFechaVR=&amp;tematicos=&amp;anyotem=&amp;historica=&amp;coordinadas=&amp;antecedentes=</t>
  </si>
  <si>
    <t>https://www1.sedecatastro.gob.es/CYCBienInmueble/OVCListaBienes.aspx?RC1=2525128&amp;RC2=UF3422N&amp;RC3=&amp;RC4=&amp;esBice=&amp;RCBice1=&amp;RCBice2=&amp;DenoBice=&amp;pest=rc&amp;final=&amp;RCCompleta=2525128UF3422N&amp;from=OVCBusqueda&amp;tipoCarto=nuevo&amp;ZV=NO&amp;ZR=NO&amp;anyoZV=&amp;strFechaVR=&amp;tematicos=&amp;anyotem=&amp;historica=&amp;coordinadas=&amp;antecedentes=</t>
  </si>
  <si>
    <t>I picked the section with the floor area closest to 185 trasteros (mentioned on their website).</t>
  </si>
  <si>
    <t>https://www1.sedecatastro.gob.es/CYCBienInmueble/OVCListaBienes.aspx?RC1=7438202&amp;RC2=UF0373N&amp;RC3=&amp;RC4=&amp;esBice=&amp;RCBice1=&amp;RCBice2=&amp;DenoBice=&amp;pest=rc&amp;final=&amp;RCCompleta=7438202UF0373N&amp;from=OVCBusqueda&amp;tipoCarto=nuevo&amp;ZV=NO&amp;ZR=NO&amp;anyoZV=&amp;strFechaVR=&amp;tematicos=&amp;anyotem=&amp;historica=&amp;coordinadas=&amp;antecedentes=</t>
  </si>
  <si>
    <t>I picked the section with the floor area closest to more than 200 trasteros (mentioned on their website).</t>
  </si>
  <si>
    <t xml:space="preserve">1/8th of parcel AAL
</t>
  </si>
  <si>
    <t>https://www1.sedecatastro.gob.es/CYCBienInmueble/OVCConCiud.aspx?UrbRus=U&amp;RefC=8419107UF6681N0001DP&amp;esBice=&amp;RCBice1=&amp;RCBice2=&amp;DenoBice=&amp;from=OVCBusqueda&amp;pest=rc&amp;RCCompleta=8419107UF6681N&amp;final=&amp;del=29&amp;mun=900</t>
  </si>
  <si>
    <t>Two parcels 8697129UF6589N and 8697128UF6589N of 473sqm with containers. Considering 1/3 is storage.</t>
  </si>
  <si>
    <t>https://www1.sedecatastro.gob.es/CYCBienInmueble/OVCConCiud.aspx?UrbRus=U&amp;RefC=8697129UF6589N0001BE&amp;esBice=&amp;RCBice1=&amp;RCBice2=&amp;DenoBice=&amp;from=OVCBusqueda&amp;pest=rc&amp;RCCompleta=8697129UF6589N&amp;final=&amp;del=29&amp;mun=900</t>
  </si>
  <si>
    <t>https://www1.sedecatastro.gob.es/CYCBienInmueble/OVCListaBienes.aspx?RC1=1953116&amp;RC2=UF7615S&amp;RC3=&amp;RC4=&amp;esBice=&amp;RCBice1=&amp;RCBice2=&amp;DenoBice=&amp;pest=rc&amp;final=&amp;RCCompleta=1953116UF7615S&amp;from=OVCBusqueda&amp;tipoCarto=nuevo&amp;ZV=NO&amp;ZR=NO&amp;anyoZV=&amp;strFechaVR=&amp;tematicos=&amp;anyotem=&amp;historica=&amp;coordinadas=&amp;antecedentes=</t>
  </si>
  <si>
    <t>Small player inside a residential building</t>
  </si>
  <si>
    <t>https://www1.sedecatastro.gob.es/CYCBienInmueble/OVCListaBienes.aspx?RC1=2341101&amp;RC2=UF7624S&amp;RC3=&amp;RC4=&amp;esBice=&amp;RCBice1=&amp;RCBice2=&amp;DenoBice=&amp;pest=rc&amp;final=&amp;RCCompleta=2341101UF7624S&amp;from=OVCBusqueda&amp;tipoCarto=nuevo&amp;ZV=NO&amp;ZR=NO&amp;anyoZV=&amp;strFechaVR=&amp;tematicos=&amp;anyotem=&amp;historica=&amp;coordinadas=&amp;antecedentes=</t>
  </si>
  <si>
    <t>Small player inside a residential building. Assumed it was the biggest Almacén unit.</t>
  </si>
  <si>
    <t>APARCAMIENTO</t>
  </si>
  <si>
    <t>ALMACEN</t>
  </si>
  <si>
    <t>AAP.10</t>
  </si>
  <si>
    <t>AAP.11</t>
  </si>
  <si>
    <t>AAP.12</t>
  </si>
  <si>
    <t>AAP.13</t>
  </si>
  <si>
    <t>AAP.14</t>
  </si>
  <si>
    <t>AAP.15</t>
  </si>
  <si>
    <t>AAP.16</t>
  </si>
  <si>
    <t>AAP.17</t>
  </si>
  <si>
    <t>AAP.18</t>
  </si>
  <si>
    <t>AAP.19</t>
  </si>
  <si>
    <t>29+O33+[@[postal_code]]</t>
  </si>
  <si>
    <t>https://www1.sedecatastro.gob.es/CYCBienInmueble/OVCListaBienes.aspx?RC1=1157701&amp;RC2=UF7615N&amp;RC3=&amp;RC4=&amp;esBice=&amp;RCBice1=&amp;RCBice2=&amp;DenoBice=&amp;pest=rc&amp;final=&amp;RCCompleta=1157701UF7615N&amp;from=OVCBusqueda&amp;tipoCarto=nuevo&amp;ZV=NO&amp;ZR=NO&amp;anyoZV=&amp;strFechaVR=&amp;tematicos=&amp;anyotem=&amp;historica=&amp;coordinadas=&amp;antecedentes=</t>
  </si>
  <si>
    <t>From the pictures on Google Maps I can see several corridors. Probably they own whole lower floor.</t>
  </si>
  <si>
    <t>https://www1.sedecatastro.gob.es/CYCBienInmueble/OVCConCiud.aspx?UrbRus=U&amp;RefC=1953220UF7615S0001DQ&amp;esBice=&amp;RCBice1=&amp;RCBice2=&amp;DenoBice=&amp;from=OVCBusqueda&amp;pest=rc&amp;RCCompleta=1953220UF7615S&amp;final=&amp;del=29&amp;mun=900</t>
  </si>
  <si>
    <t>Seems like a small storage corridor.</t>
  </si>
  <si>
    <t>https://www1.sedecatastro.gob.es/CYCBienInmueble/OVCListaBienes.aspx?RC1=3759103&amp;RC2=UF7635N&amp;RC3=&amp;RC4=&amp;esBice=&amp;RCBice1=&amp;RCBice2=&amp;DenoBice=&amp;pest=rc&amp;final=&amp;RCCompleta=3759103UF7635N&amp;from=OVCBusqueda&amp;tipoCarto=nuevo&amp;ZV=NO&amp;ZR=NO&amp;anyoZV=&amp;strFechaVR=&amp;tematicos=&amp;anyotem=&amp;historica=&amp;coordinadas=&amp;antecedentes=</t>
  </si>
  <si>
    <t>https://www1.sedecatastro.gob.es/CYCBienInmueble/OVCListaBienes.aspx?RC1=1859147&amp;RC2=UF7615N&amp;RC3=&amp;RC4=&amp;esBice=&amp;RCBice1=&amp;RCBice2=&amp;DenoBice=&amp;pest=rc&amp;final=&amp;RCCompleta=1859147UF7615N&amp;from=OVCBusqueda&amp;tipoCarto=nuevo&amp;ZV=NO&amp;ZR=NO&amp;anyoZV=&amp;strFechaVR=&amp;tematicos=&amp;anyotem=&amp;historica=&amp;coordinadas=&amp;antecedentes=</t>
  </si>
  <si>
    <t>Small independent player.</t>
  </si>
  <si>
    <t>https://www1.sedecatastro.gob.es/CYCBienInmueble/OVCListaBienes.aspx?RC1=2443106&amp;RC2=UF7624S&amp;RC3=&amp;RC4=&amp;esBice=&amp;RCBice1=&amp;RCBice2=&amp;DenoBice=&amp;pest=rc&amp;final=&amp;RCCompleta=2443106UF7624S&amp;from=OVCBusqueda&amp;tipoCarto=nuevo&amp;ZV=NO&amp;ZR=NO&amp;anyoZV=&amp;strFechaVR=&amp;tematicos=&amp;anyotem=&amp;historica=&amp;coordinadas=&amp;antecedentes=</t>
  </si>
  <si>
    <t>https://www1.sedecatastro.gob.es/CYCBienInmueble/OVCConCiud.aspx?UrbRus=U&amp;RefC=8531123UF6683S0001PY&amp;esBice=&amp;RCBice1=&amp;RCBice2=&amp;DenoBice=&amp;from=OVCBusqueda&amp;pest=rc&amp;RCCompleta=8531123UF6683S&amp;final=&amp;del=29&amp;mun=900</t>
  </si>
  <si>
    <t>Guardamuebles</t>
  </si>
  <si>
    <t>Strange, since this is a residencial home.</t>
  </si>
  <si>
    <t>https://www1.sedecatastro.gob.es/CYCBienInmueble/OVCConCiud.aspx?UrbRus=U&amp;RefC=0864328UF7606S0001OF&amp;esBice=&amp;RCBice1=&amp;RCBice2=&amp;DenoBice=&amp;from=OVCBusqueda&amp;pest=rc&amp;RCCompleta=0864328UF7606S&amp;final=&amp;del=29&amp;mun=900</t>
  </si>
  <si>
    <t>Their containers in a open space. I'll assume 1/3th of the area.</t>
  </si>
  <si>
    <t>https://www1.sedecatastro.gob.es/CYCBienInmueble/OVCConCiud.aspx?UrbRus=R&amp;RefC=0567959UF6606N0001JJ&amp;esBice=&amp;RCBice1=&amp;RCBice2=&amp;DenoBice=&amp;from=OVCBusqueda&amp;pest=rc&amp;RCCompleta=0567959UF6606N&amp;final=&amp;del=29&amp;mun=900</t>
  </si>
  <si>
    <t>https://www1.sedecatastro.gob.es/CYCBienInmueble/OVCListaBienes.aspx?RC1=9149902&amp;RC2=UF7694N&amp;RC3=&amp;RC4=&amp;esBice=&amp;RCBice1=&amp;RCBice2=&amp;DenoBice=&amp;pest=rc&amp;final=&amp;RCCompleta=9149902UF7694N&amp;from=OVCBusqueda&amp;tipoCarto=nuevo&amp;ZV=NO&amp;ZR=NO&amp;anyoZV=&amp;strFechaVR=&amp;tematicos=&amp;anyotem=&amp;historica=&amp;coordinadas=&amp;antecedentes=</t>
  </si>
  <si>
    <t>Can't view the floor plan by floor. Seems like it this section due to the google maps photos.</t>
  </si>
  <si>
    <t>Whole building.</t>
  </si>
  <si>
    <t>https://www1.sedecatastro.gob.es/CYCBienInmueble/OVCConCiud.aspx?UrbRus=U&amp;RefC=2295108VF0629N0001DJ&amp;esBice=&amp;RCBice1=&amp;RCBice2=&amp;DenoBice=&amp;from=OVCBusqueda&amp;pest=rc&amp;RCCompleta=2295108VF0629N&amp;final=&amp;del=29&amp;mun=94</t>
  </si>
  <si>
    <t>Assumed 1/6th of the whole almacen in the lower floor.</t>
  </si>
  <si>
    <t>https://www1.sedecatastro.gob.es/CYCBienInmueble/OVCListaBienes.aspx?RC1=1805102&amp;RC2=VF0710N&amp;RC3=&amp;RC4=&amp;esBice=&amp;RCBice1=&amp;RCBice2=&amp;DenoBice=&amp;pest=rc&amp;final=&amp;RCCompleta=1805102VF0710N&amp;from=OVCBusqueda&amp;tipoCarto=nuevo&amp;ZV=NO&amp;ZR=NO&amp;anyoZV=&amp;strFechaVR=&amp;tematicos=&amp;anyotem=&amp;historica=&amp;coordinadas=&amp;antecedentes=</t>
  </si>
  <si>
    <t>Assumed half of the lower floor with almancen</t>
  </si>
  <si>
    <t>https://www1.sedecatastro.gob.es/CYCBienInmueble/OVCListaBienes.aspx?RC1=1909614&amp;RC2=VF0720N&amp;RC3=&amp;RC4=&amp;esBice=&amp;RCBice1=&amp;RCBice2=&amp;DenoBice=&amp;pest=rc&amp;final=&amp;RCCompleta=1909614VF0720N&amp;from=OVCBusqueda&amp;tipoCarto=nuevo&amp;ZV=NO&amp;ZR=NO&amp;anyoZV=&amp;strFechaVR=&amp;tematicos=&amp;anyotem=&amp;historica=&amp;coordinadas=&amp;antecedentes=</t>
  </si>
  <si>
    <t>Assumed it was the 300sqm plot</t>
  </si>
  <si>
    <t>https://www1.sedecatastro.gob.es/CYCBienInmueble/OVCListaBienes.aspx?RC1=1115101&amp;RC2=VF0711N&amp;RC3=&amp;RC4=&amp;esBice=&amp;RCBice1=&amp;RCBice2=&amp;DenoBice=&amp;pest=rc&amp;final=&amp;RCCompleta=1115101VF0711N&amp;from=OVCBusqueda&amp;tipoCarto=nuevo&amp;ZV=NO&amp;ZR=NO&amp;anyoZV=&amp;strFechaVR=&amp;tematicos=&amp;anyotem=&amp;historica=&amp;coordinadas=&amp;antecedentes=</t>
  </si>
  <si>
    <t>https://www1.sedecatastro.gob.es/CYCBienInmueble/OVCListaBienes.aspx?RC1=1217114&amp;RC2=VF0711N&amp;RC3=&amp;RC4=&amp;esBice=&amp;RCBice1=&amp;RCBice2=&amp;DenoBice=&amp;pest=rc&amp;final=&amp;RCCompleta=1217114VF0711N&amp;from=OVCBusqueda&amp;tipoCarto=nuevo&amp;ZV=NO&amp;ZR=NO&amp;anyoZV=&amp;strFechaVR=&amp;tematicos=&amp;anyotem=&amp;historica=&amp;coordinadas=&amp;antecedentes=</t>
  </si>
  <si>
    <t>Assumed it was one of the commercial units. All very similar.</t>
  </si>
  <si>
    <t>https://www1.sedecatastro.gob.es/CYCBienInmueble/OVCListaBienes.aspx?RC1=2070101&amp;RC2=VF0627S&amp;RC3=&amp;RC4=&amp;esBice=&amp;RCBice1=&amp;RCBice2=&amp;DenoBice=&amp;pest=rc&amp;final=&amp;RCCompleta=2070101VF0627S&amp;from=OVCBusqueda&amp;tipoCarto=nuevo&amp;ZV=NO&amp;ZR=NO&amp;anyoZV=&amp;strFechaVR=&amp;tematicos=&amp;anyotem=&amp;historica=&amp;coordinadas=&amp;antecedentes=</t>
  </si>
  <si>
    <t>Seems like they only have around 30 doors by the pics. Assumed it was the 94sqm, not the 447sqm unit.</t>
  </si>
  <si>
    <t>https://www1.sedecatastro.gob.es/CYCBienInmueble/OVCListaBienes.aspx?RC1=2670105&amp;RC2=VF0627S&amp;RC3=&amp;RC4=&amp;esBice=&amp;RCBice1=&amp;RCBice2=&amp;DenoBice=&amp;pest=rc&amp;final=&amp;RCCompleta=2670105VF0627S&amp;from=OVCBusqueda&amp;tipoCarto=nuevo&amp;ZV=NO&amp;ZR=NO&amp;anyoZV=&amp;strFechaVR=&amp;tematicos=&amp;anyotem=&amp;historica=&amp;coordinadas=&amp;antecedentes=</t>
  </si>
  <si>
    <t>Seems like they only have around 56 doors by the pics. Assumed it was the 98sqm, not the 197sqm unit.</t>
  </si>
  <si>
    <t>https://www1.sedecatastro.gob.es/CYCBienInmueble/OVCListaBienes.aspx?RC1=2468421&amp;RC2=VF0626N&amp;RC3=&amp;RC4=&amp;esBice=&amp;RCBice1=&amp;RCBice2=&amp;DenoBice=&amp;pest=rc&amp;final=&amp;RCCompleta=2468421VF0626N&amp;from=OVCBusqueda&amp;tipoCarto=nuevo&amp;ZV=NO&amp;ZR=NO&amp;anyoZV=&amp;strFechaVR=&amp;tematicos=&amp;anyotem=&amp;historica=&amp;coordinadas=&amp;antecedentes=</t>
  </si>
  <si>
    <t>https://www1.sedecatastro.gob.es/CYCBienInmueble/OVCConCiud.aspx?UrbRus=U&amp;RefC=1998117UF6519N0001DZ&amp;esBice=&amp;RCBice1=&amp;RCBice2=&amp;DenoBice=&amp;from=OVCBusqueda&amp;pest=rc&amp;RCCompleta=1998117UF6519N&amp;final=&amp;del=29&amp;mun=7</t>
  </si>
  <si>
    <t>This is not their location. Can't estimate anything.</t>
  </si>
  <si>
    <t>https://www1.sedecatastro.gob.es/CYCBienInmueble/OVCConCiud.aspx?UrbRus=U&amp;RefC=4597211UF4549N0001YO&amp;esBice=&amp;RCBice1=&amp;RCBice2=&amp;DenoBice=&amp;from=OVCBusqueda&amp;pest=rc&amp;RCCompleta=4597211UF4549N&amp;final=&amp;del=29&amp;mun=42</t>
  </si>
  <si>
    <t>Can't make an estimation. Can't find the building</t>
  </si>
  <si>
    <t>Can't estimate. Can't find the building.</t>
  </si>
  <si>
    <t>https://www.google.com/maps/place/Abilplus+Marbella+-+Alquiler+de+trasteros+en+Marbella+-+Guardamuebles+y+Mudanzas/@36.5108676,-4.9008557,19z/data=!3m1!4b1!4m6!3m5!1s0xd72d7e024fce483:0xec1ad9acb4b60670!8m2!3d36.5108665!4d-4.900212!16s%2Fg%2F11frzd6313?entry=ttu&amp;g_ep=EgoyMDI2MDQyMi4wIKXMDSoASAFQAw%3D%3D</t>
  </si>
  <si>
    <t>https://www.google.com/maps/place/Trasteros+Marbella/@36.5123982,-4.8630421,190m/data=!3m1!1e3!4m6!3m5!1s0xd72d9fd12a41809:0x86bc88339038cc2a!8m2!3d36.5122702!4d-4.8623622!16s%2Fg%2F11wqnx7q1z?entry=ttu&amp;g_ep=EgoyMDI2MDQyMi4wIKXMDSoASAFQAw%3D%3D</t>
  </si>
  <si>
    <t>Shipping containers. Can't estimate.</t>
  </si>
  <si>
    <t>According to google maps only half the building is from this trastero.</t>
  </si>
  <si>
    <t>https://www1.sedecatastro.gob.es/CYCBienInmueble/OVCListaBienes.aspx?RC1=2823107&amp;RC2=UF3422S&amp;RC3=&amp;RC4=&amp;esBice=&amp;RCBice1=&amp;RCBice2=&amp;DenoBice=&amp;pest=rc&amp;final=&amp;RCCompleta=2823107UF3422S&amp;from=OVCBusqueda&amp;tipoCarto=nuevo&amp;ZV=NO&amp;ZR=NO&amp;anyoZV=&amp;strFechaVR=&amp;tematicos=&amp;anyotem=&amp;historica=&amp;coordinadas=&amp;antecedentes=</t>
  </si>
  <si>
    <t>https://www1.sedecatastro.gob.es/CYCBienInmueble/OVCConCiud.aspx?UrbRus=U&amp;RefC=8415319UF3481N0001DP&amp;esBice=&amp;RCBice1=&amp;RCBice2=&amp;DenoBice=&amp;from=OVCBusqueda&amp;pest=rc&amp;RCCompleta=8415319UF3481N&amp;final=&amp;del=29&amp;mun=69</t>
  </si>
  <si>
    <t>https://www1.sedecatastro.gob.es/CYCBienInmueble/OVCConCiud.aspx?UrbRus=U&amp;RefC=2817309UF2421N0001AB&amp;esBice=&amp;RCBice1=&amp;RCBice2=&amp;DenoBice=&amp;from=OVCBusqueda&amp;pest=rc&amp;RCCompleta=2817309UF2421N&amp;final=&amp;del=29&amp;mun=69</t>
  </si>
  <si>
    <t>https://www1.sedecatastro.gob.es/CYCBienInmueble/OVCListaBienes.aspx?RC1=1609402&amp;RC2=UF2410N&amp;RC3=&amp;RC4=&amp;esBice=&amp;RCBice1=&amp;RCBice2=&amp;DenoBice=&amp;pest=rc&amp;final=&amp;RCCompleta=1609402UF2410N&amp;from=OVCBusqueda&amp;tipoCarto=nuevo&amp;ZV=NO&amp;ZR=NO&amp;anyoZV=&amp;strFechaVR=&amp;tematicos=&amp;anyotem=&amp;historica=&amp;coordinadas=&amp;antecedentes=</t>
  </si>
  <si>
    <t>https://www1.sedecatastro.gob.es/CYCBienInmueble/OVCConCiud.aspx?UrbRus=U&amp;RefC=1511701UF2411S0001TQ&amp;esBice=&amp;RCBice1=&amp;RCBice2=&amp;DenoBice=&amp;from=OVCBusqueda&amp;pest=rc&amp;RCCompleta=1511701UF2411S&amp;final=&amp;del=29&amp;mun=69</t>
  </si>
  <si>
    <t>Seems like it has two floors</t>
  </si>
  <si>
    <t>https://www1.sedecatastro.gob.es/CYCBienInmueble/OVCListaBienes.aspx?RC1=2096202&amp;RC2=UF2329N&amp;RC3=&amp;RC4=&amp;esBice=&amp;RCBice1=&amp;RCBice2=&amp;DenoBice=&amp;pest=rc&amp;final=&amp;RCCompleta=2096202UF2329N&amp;from=OVCBusqueda&amp;tipoCarto=nuevo&amp;ZV=NO&amp;ZR=NO&amp;anyoZV=&amp;strFechaVR=&amp;tematicos=&amp;anyotem=&amp;historica=&amp;coordinadas=&amp;antecedentes=</t>
  </si>
  <si>
    <t>Assumed 1/7th of the lower floor.</t>
  </si>
  <si>
    <t>https://www1.sedecatastro.gob.es/CYCBienInmueble/OVCListaBienes.aspx?RC1=2102303&amp;RC2=UF2420S&amp;RC3=&amp;RC4=&amp;esBice=&amp;RCBice1=&amp;RCBice2=&amp;DenoBice=&amp;pest=rc&amp;final=&amp;RCCompleta=2102303UF2420S&amp;from=OVCBusqueda&amp;tipoCarto=nuevo&amp;ZV=NO&amp;ZR=NO&amp;anyoZV=&amp;strFechaVR=&amp;tematicos=&amp;anyotem=&amp;historica=&amp;coordinadas=&amp;antecedentes=</t>
  </si>
  <si>
    <t>They mentioned its on floor 0. I assumed it was all of floor 0. They have offer of 8 sizes from 1 to 10m.</t>
  </si>
  <si>
    <t>https://www1.sedecatastro.gob.es/CYCBienInmueble/OVCConCiud.aspx?UrbRus=U&amp;RefC=9277401UF1397N0001HK&amp;esBice=&amp;RCBice1=&amp;RCBice2=&amp;DenoBice=&amp;from=OVCBusqueda&amp;pest=rc&amp;RCCompleta=9277401UF1397N&amp;final=&amp;del=29&amp;mun=51</t>
  </si>
  <si>
    <t>https://www1.sedecatastro.gob.es/CYCBienInmueble/OVCListaBienes.aspx?RC1=3963201&amp;RC2=UF5436S&amp;RC3=&amp;RC4=&amp;esBice=&amp;RCBice1=&amp;RCBice2=&amp;DenoBice=&amp;pest=rc&amp;final=&amp;RCCompleta=3963201UF5436S&amp;from=OVCBusqueda&amp;tipoCarto=nuevo&amp;ZV=NO&amp;ZR=NO&amp;anyoZV=&amp;strFechaVR=&amp;tematicos=&amp;anyotem=&amp;historica=&amp;coordinadas=&amp;antecedentes=</t>
  </si>
  <si>
    <t>Assumed 1/4th of plant bj commercial sections</t>
  </si>
  <si>
    <t>https://www1.sedecatastro.gob.es/CYCBienInmueble/OVCListaBienes.aspx?RC1=0674101&amp;RC2=UF5407S&amp;RC3=&amp;RC4=&amp;esBice=&amp;RCBice1=&amp;RCBice2=&amp;DenoBice=&amp;pest=rc&amp;final=&amp;RCCompleta=0674101UF5407S&amp;from=OVCBusqueda&amp;tipoCarto=nuevo&amp;ZV=NO&amp;ZR=NO&amp;anyoZV=&amp;strFechaVR=&amp;tematicos=&amp;anyotem=&amp;historica=&amp;coordinadas=&amp;antecedentes=</t>
  </si>
  <si>
    <t>Doesn't seem like the right building. Can't estimate.</t>
  </si>
  <si>
    <t>https://www1.sedecatastro.gob.es/CYCBienInmueble/OVCConCiud.aspx?del=29&amp;mun=70&amp;UrbRus=U&amp;RefC=2356111UF5425N0001IO&amp;Apenom=&amp;esBice=&amp;RCBice1=&amp;RCBice2=&amp;DenoBice=&amp;from=nuevoVisor&amp;ZV=NO&amp;anyoZV=</t>
  </si>
  <si>
    <t>Whole building. Google Maps is in the wrong spot.</t>
  </si>
  <si>
    <t>https://beheer.myyounit.nl/checkout/self-storage-carihuela/6R5bvjfG?language=es</t>
  </si>
  <si>
    <t>Used Claude and their website floor plan to calculate NLA.</t>
  </si>
  <si>
    <t>Their website mentions: Más de 50 trasteros de reciente construcción &amp; Trasteros de hasta 4,50m2.</t>
  </si>
  <si>
    <t>https://trasteroz.com/en/</t>
  </si>
  <si>
    <t>Their website mentions: More than 80 recently built storage units &amp; Storage units of up to 9.40 m2.</t>
  </si>
  <si>
    <t>Their website mentions: More than 30 recently built storage units &amp; Storage units of up to 3.70m2</t>
  </si>
  <si>
    <t>Their websited mentions units up to 25m and at least 225 units.</t>
  </si>
  <si>
    <t>https://www.google.com/maps/place/Trasteros+Rinc%C3%B3n/@36.7160212,-4.2902434,3a,75y,90t/data=!3m8!1e2!3m6!1sAF1QipMimiuwVGNEgwo9gsQJAk6i8cwd4obBxXdlpKaR!2e10!3e12!6shttps:%2F%2Flh3.googleusercontent.com%2Fp%2FAF1QipMimiuwVGNEgwo9gsQJAk6i8cwd4obBxXdlpKaR%3Dw203-h256-k-no!7i657!8i829!4m7!3m6!1s0xd725bbaaf7184b1:0x45b51cbb0eea97af!8m2!3d36.7158711!4d-4.2902975!10e5!16s%2Fg%2F11stt_l71v!5m1!1e4?entry=ttu&amp;g_ep=EgoyMDI2MDQyMi4wIKXMDSoASAFQAw%3D%3D</t>
  </si>
  <si>
    <t>Claude used the facility floor plan to calculate nla</t>
  </si>
  <si>
    <t>https://www1.sedecatastro.gob.es/CYCBienInmueble/OVCConCiud.aspx?del=29&amp;mun=82&amp;UrbRus=U&amp;RefC=5343401UF8654S0036KG&amp;Apenom=&amp;esBice=&amp;RCBice1=&amp;RCBice2=&amp;DenoBice=&amp;from=nuevoVisor&amp;ZV=NO&amp;anyoZV=</t>
  </si>
  <si>
    <t>Considered the half of the almacen portion of -1</t>
  </si>
  <si>
    <t>https://www1.sedecatastro.gob.es/CYCBienInmueble/OVCConCiud.aspx?del=29&amp;mun=82&amp;UrbRus=U&amp;RefC=6849901UF8664N0001GI&amp;Apenom=&amp;esBice=&amp;RCBice1=&amp;RCBice2=&amp;DenoBice=&amp;from=nuevoVisor&amp;ZV=NO&amp;anyoZV=</t>
  </si>
  <si>
    <t>Naves y trasteros. Not just trasteros. Their sign mentions: Se alquilan Naves y Trasteros desde 5m hasta 100m.</t>
  </si>
  <si>
    <t>https://materialesdeconstruccionjoma.com/alquiler-de-trasteros/</t>
  </si>
  <si>
    <t>Google Maps says that it might be closed. Their website mentions: 30 trasteros con superficies de 3,30 m², 3,40 m², 3,50 m², 3,80 m², 4,20 m² y 4,80 m²</t>
  </si>
  <si>
    <t>Assuming 4 blocks of 31 with an avg 21sqm container.</t>
  </si>
  <si>
    <t>https://imushu.es/</t>
  </si>
  <si>
    <t>https://storagecosta.com/our-prices/</t>
  </si>
  <si>
    <t>Their website mentions: imos nuestras puertas en Marzo del 2019. A primeros del 2020 iniciamos nuestra ampliación, llegando entonces a tener más de 700 metros dedicados al alquiler de trasteros en Estepona.</t>
  </si>
  <si>
    <t>https://www1.sedecatastro.gob.es/CYCBienInmueble/OVCConCiud.aspx?del=29&amp;mun=51&amp;UrbRus=U&amp;RefC=5939423UF0353N0001FF&amp;Apenom=&amp;esBice=&amp;RCBice1=&amp;RCBice2=&amp;DenoBice=&amp;from=nuevoVisor&amp;ZV=NO&amp;anyoZV=</t>
  </si>
  <si>
    <t>https://www1.sedecatastro.gob.es/CYCBienInmueble/OVCConCiud.aspx?del=29&amp;mun=51&amp;UrbRus=U&amp;RefC=5638507UF0353N0001HF&amp;Apenom=&amp;esBice=&amp;RCBice1=&amp;RCBice2=&amp;DenoBice=&amp;from=nuevoVisor&amp;ZV=NO&amp;anyoZV=</t>
  </si>
  <si>
    <t>https://www1.sedecatastro.gob.es/CYCBienInmueble/OVCConCiud.aspx?del=29&amp;mun=51&amp;UrbRus=U&amp;RefC=5537704UF0353N0001MF&amp;Apenom=&amp;esBice=&amp;RCBice1=&amp;RCBice2=&amp;DenoBice=&amp;from=nuevoVisor&amp;ZV=NO&amp;anyoZV=</t>
  </si>
  <si>
    <t>https://www1.sedecatastro.gob.es/CYCBienInmueble/OVCConCiud.aspx?del=29&amp;mun=75&amp;UrbRus=U&amp;RefC=0983237VF2608S0001QQ&amp;Apenom=&amp;esBice=&amp;RCBice1=&amp;RCBice2=&amp;DenoBice=&amp;from=nuevoVisor&amp;ZV=NO&amp;anyoZV=</t>
  </si>
  <si>
    <t>Assumed 1/3 of the total area.</t>
  </si>
  <si>
    <t>https://www1.sedecatastro.gob.es/CYCBienInmueble/OVCConCiud.aspx?del=29&amp;mun=75&amp;UrbRus=U&amp;RefC=1283114VF2618S0001TT&amp;Apenom=&amp;esBice=&amp;RCBice1=&amp;RCBice2=&amp;DenoBice=&amp;from=nuevoVisor&amp;ZV=NO&amp;anyoZV=</t>
  </si>
  <si>
    <t>Half of the building. Only one floor.</t>
  </si>
  <si>
    <t>https://www1.sedecatastro.gob.es/CYCBienInmueble/OVCConCiud.aspx?del=29&amp;mun=8&amp;UrbRus=U&amp;RefC=8962105UF4586S0002RY&amp;Apenom=&amp;esBice=&amp;RCBice1=&amp;RCBice2=&amp;DenoBice=&amp;from=nuevoVisor&amp;ZV=NO&amp;anyoZV=</t>
  </si>
  <si>
    <t>1/5 of the building according to google maps</t>
  </si>
  <si>
    <t>https://www1.sedecatastro.gob.es/CYCBienInmueble/OVCConCiud.aspx?del=29&amp;mun=8&amp;UrbRus=U&amp;RefC=8887809UF4588N0001OI&amp;Apenom=&amp;esBice=&amp;RCBice1=&amp;RCBice2=&amp;DenoBice=&amp;from=nuevoVisor&amp;ZV=NO&amp;anyoZV=</t>
  </si>
  <si>
    <t>Whole building</t>
  </si>
  <si>
    <t>https://www1.sedecatastro.gob.es/CYCBienInmueble/OVCConCiud.aspx?del=29&amp;mun=8&amp;UrbRus=U&amp;RefC=8887319UF4588N0006AD&amp;Apenom=&amp;esBice=&amp;RCBice1=&amp;RCBice2=&amp;DenoBice=&amp;from=nuevoVisor&amp;ZV=NO&amp;anyoZV=</t>
  </si>
  <si>
    <t>Whole section</t>
  </si>
  <si>
    <t>https://www1.sedecatastro.gob.es/CYCBienInmueble/OVCConCiud.aspx?del=29&amp;mun=25&amp;UrbRus=U&amp;RefC=3223303UF6532S0001PP&amp;Apenom=&amp;esBice=&amp;RCBice1=&amp;RCBice2=&amp;DenoBice=&amp;from=nuevoVisor&amp;ZV=NO&amp;anyoZV=</t>
  </si>
  <si>
    <t>Código</t>
  </si>
  <si>
    <t>Sup. en m²</t>
  </si>
  <si>
    <t>Descripción</t>
  </si>
  <si>
    <t>AAL.1</t>
  </si>
  <si>
    <t>AAP.1</t>
  </si>
  <si>
    <t>AAL.2</t>
  </si>
  <si>
    <t>AAP.2</t>
  </si>
  <si>
    <t>AAL.3</t>
  </si>
  <si>
    <t>AAP.3</t>
  </si>
  <si>
    <t>AAL.4</t>
  </si>
  <si>
    <t>AAP.4</t>
  </si>
  <si>
    <t>AAL.5</t>
  </si>
  <si>
    <t>AAP.5</t>
  </si>
  <si>
    <t>AAL.6</t>
  </si>
  <si>
    <t>AAP.6</t>
  </si>
  <si>
    <t>AAL.7</t>
  </si>
  <si>
    <t>AAP.7</t>
  </si>
  <si>
    <t>AAL.8</t>
  </si>
  <si>
    <t>AAP.8</t>
  </si>
  <si>
    <t>AAL.9</t>
  </si>
  <si>
    <t>AAP.9</t>
  </si>
  <si>
    <t>AAL.10</t>
  </si>
  <si>
    <t>AAL.12</t>
  </si>
  <si>
    <t>AAL.14</t>
  </si>
  <si>
    <t>AAL.15</t>
  </si>
  <si>
    <t>AAL.16</t>
  </si>
  <si>
    <t>AAL.17</t>
  </si>
  <si>
    <t>AAL.18</t>
  </si>
  <si>
    <t>AAL.19</t>
  </si>
  <si>
    <t>AAL.11</t>
  </si>
  <si>
    <t>AAL.13</t>
  </si>
  <si>
    <t>https://www1.sedecatastro.gob.es/CYCBienInmueble/OVCListaBienes.aspx?RC1=2822202&amp;RC2=UF6522S&amp;RC3=&amp;RC4=&amp;esBice=&amp;RCBice1=&amp;RCBice2=&amp;DenoBice=&amp;pest=rc&amp;final=&amp;RCCompleta=2822202UF6522S&amp;from=OVCBusqueda&amp;tipoCarto=nuevo&amp;ZV=NO&amp;ZR=NO&amp;anyoZV=&amp;strFechaVR=&amp;tematicos=&amp;anyotem=&amp;historica=&amp;coordinadas=&amp;antecedentes=</t>
  </si>
  <si>
    <t>All almacen in the building</t>
  </si>
  <si>
    <t>https://www1.sedecatastro.gob.es/CYCBienInmueble/OVCConCiud.aspx?del=29&amp;mun=41&amp;UrbRus=U&amp;RefC=000802300TF92C0001PS&amp;Apenom=&amp;esBice=&amp;RCBice1=&amp;RCBice2=&amp;DenoBice=&amp;from=nuevoVisor&amp;ZV=NO&amp;anyoZV=</t>
  </si>
  <si>
    <t>A guardamuebles. Not a self storage</t>
  </si>
  <si>
    <t>https://www1.sedecatastro.gob.es/CYCBienInmueble/OVCConCiud.aspx?del=29&amp;mun=68&amp;UrbRus=U&amp;RefC=7593713TF9279S0001JG&amp;Apenom=&amp;esBice=&amp;RCBice1=&amp;RCBice2=&amp;DenoBice=&amp;from=nuevoVisor&amp;ZV=NO&amp;anyoZV=</t>
  </si>
  <si>
    <t>Two buildings side-by-side.</t>
  </si>
  <si>
    <t>https://www1.sedecatastro.gob.es/CYCBienInmueble/OVCConCiud.aspx?del=29&amp;mun=68&amp;UrbRus=U&amp;RefC=7492518TF9279S0001AG&amp;Apenom=&amp;esBice=&amp;RCBice1=&amp;RCBice2=&amp;DenoBice=&amp;from=nuevoVisor&amp;ZV=NO&amp;anyoZV=</t>
  </si>
  <si>
    <t>Three buildings side-by-side</t>
  </si>
  <si>
    <t>https://www1.sedecatastro.gob.es/CYCBienInmueble/OVCConCiud.aspx?del=29&amp;mun=68&amp;UrbRus=U&amp;RefC=7494303TF9279S0001BG&amp;Apenom=&amp;esBice=&amp;RCBice1=&amp;RCBice2=&amp;DenoBice=&amp;from=nuevoVisor&amp;ZV=NO&amp;anyoZV=</t>
  </si>
  <si>
    <t>https://www1.sedecatastro.gob.es/CYCBienInmueble/OVCListaBienes.aspx?RC1=9966501&amp;RC2=TF9296N&amp;RC3=&amp;RC4=&amp;esBice=&amp;RCBice1=&amp;RCBice2=&amp;DenoBice=&amp;pest=rc&amp;final=&amp;RCCompleta=9966501TF9296N&amp;from=OVCBusqueda&amp;tipoCarto=nuevo&amp;ZV=NO&amp;ZR=NO&amp;anyoZV=&amp;strFechaVR=&amp;tematicos=&amp;anyotem=&amp;historica=&amp;coordinadas=&amp;antecedentes=</t>
  </si>
  <si>
    <t>Seems too small</t>
  </si>
  <si>
    <t>https://www1.sedecatastro.gob.es/CYCBienInmueble/OVCListaBienes.aspx?RC1=0270101&amp;RC2=UF0207S&amp;RC3=&amp;RC4=&amp;esBice=&amp;RCBice1=&amp;RCBice2=&amp;DenoBice=&amp;pest=rc&amp;final=&amp;RCCompleta=0270101UF0207S&amp;from=OVCBusqueda&amp;tipoCarto=nuevo&amp;ZV=NO&amp;ZR=NO&amp;anyoZV=&amp;strFechaVR=&amp;tematicos=&amp;anyotem=&amp;historica=&amp;coordinadas=&amp;antecedentes=</t>
  </si>
  <si>
    <t>Section CCE.06</t>
  </si>
  <si>
    <t>https://www1.sedecatastro.gob.es/CYCBienInmueble/OVCListaBienes.aspx?RC1=8297205&amp;RC2=UF0689N&amp;RC3=&amp;RC4=&amp;esBice=&amp;RCBice1=&amp;RCBice2=&amp;DenoBice=&amp;pest=rc&amp;final=&amp;RCCompleta=8297205UF0689N&amp;from=OVCBusqueda&amp;tipoCarto=nuevo&amp;ZV=NO&amp;ZR=NO&amp;anyoZV=&amp;strFechaVR=&amp;tematicos=&amp;anyotem=&amp;historica=&amp;coordinadas=&amp;antecedentes=</t>
  </si>
  <si>
    <t>https://www1.sedecatastro.gob.es/CYCBienInmueble/OVCListaBienes.aspx?RC1=7087701&amp;RC2=UF0678N&amp;RC3=&amp;RC4=&amp;esBice=&amp;RCBice1=&amp;RCBice2=&amp;DenoBice=&amp;pest=rc&amp;final=&amp;RCCompleta=7087701UF0678N&amp;from=OVCBusqueda&amp;tipoCarto=nuevo&amp;ZV=NO&amp;ZR=NO&amp;anyoZV=&amp;strFechaVR=&amp;tematicos=&amp;anyotem=&amp;historica=&amp;coordinadas=&amp;antecedentes=</t>
  </si>
  <si>
    <t>Trasteros de 1m³ a 18m³ y Amplio almacenamiento de hasta 50m³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</si>
</sst>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"/>
    <numFmt numFmtId="165" formatCode="0.0"/>
  </numFmts>
  <fonts count="14" x14ac:knownFonts="1">
    <font>
      <sz val="11"/>
      <color theme="1"/>
      <name val="Calibri"/>
      <family val="2"/>
      <scheme val="minor"/>
    </font>
    <font>
      <b/>
      <sz val="16"/>
      <color rgb="FF2A2D26"/>
      <name val="Arial"/>
    </font>
    <font>
      <i/>
      <sz val="11"/>
      <color rgb="FF547D74"/>
      <name val="Arial"/>
    </font>
    <font>
      <b/>
      <sz val="13"/>
      <color rgb="FF409B7E"/>
      <name val="Arial"/>
    </font>
    <font>
      <sz val="10"/>
      <color rgb="FF2A2D26"/>
      <name val="Arial"/>
    </font>
    <font>
      <b/>
      <sz val="11"/>
      <color rgb="FF547D74"/>
      <name val="Arial"/>
    </font>
    <font>
      <b/>
      <sz val="10"/>
      <color rgb="FFFFFFFF"/>
      <name val="Arial"/>
    </font>
    <font>
      <sz val="10"/>
      <name val="Arial"/>
    </font>
    <font>
      <u/>
      <sz val="10"/>
      <color rgb="FF0070C0"/>
      <name val="Arial"/>
    </font>
    <font>
      <i/>
      <sz val="10"/>
      <color rgb="FF8E8E8E"/>
      <name val="Arial"/>
    </font>
    <font>
      <b/>
      <sz val="10"/>
      <name val="Arial"/>
    </font>
    <font>
      <b/>
      <sz val="10"/>
      <color rgb="FF409B7E"/>
      <name val="Arial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6F2"/>
      </patternFill>
    </fill>
    <fill>
      <patternFill patternType="solid">
        <fgColor rgb="FF2EC4A0"/>
      </patternFill>
    </fill>
    <fill>
      <patternFill patternType="solid">
        <fgColor rgb="FFFFF9E6"/>
      </patternFill>
    </fill>
  </fills>
  <borders count="2">
    <border>
      <left/>
      <right/>
      <top/>
      <bottom/>
      <diagonal/>
    </border>
    <border>
      <left style="thin">
        <color rgb="FFD5D7D0"/>
      </left>
      <right style="thin">
        <color rgb="FFD5D7D0"/>
      </right>
      <top style="thin">
        <color rgb="FFD5D7D0"/>
      </top>
      <bottom style="thin">
        <color rgb="FFD5D7D0"/>
      </bottom>
      <diagonal/>
    </border>
  </borders>
  <cellStyleXfs count="2">
    <xf numFmtId="0" fontId="0" fillId="0" borderId="0"/>
    <xf numFmtId="0" fontId="12" fillId="0" borderId="0" applyNumberFormat="0" applyFill="0" applyBorder="0" applyAlignment="0" applyProtection="0"/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0" borderId="0" xfId="0" applyFont="1" applyAlignment="1">
      <alignment vertical="top" wrapText="1"/>
    </xf>
    <xf numFmtId="0" fontId="5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164" fontId="7" fillId="0" borderId="1" xfId="0" applyNumberFormat="1" applyFont="1" applyBorder="1" applyAlignment="1">
      <alignment vertical="top"/>
    </xf>
    <xf numFmtId="0" fontId="8" fillId="0" borderId="1" xfId="0" applyFont="1" applyBorder="1" applyAlignment="1">
      <alignment vertical="top"/>
    </xf>
    <xf numFmtId="165" fontId="7" fillId="0" borderId="1" xfId="0" applyNumberFormat="1" applyFont="1" applyBorder="1" applyAlignment="1">
      <alignment vertical="top"/>
    </xf>
    <xf numFmtId="3" fontId="7" fillId="4" borderId="1" xfId="0" applyNumberFormat="1" applyFont="1" applyFill="1" applyBorder="1" applyAlignment="1">
      <alignment vertical="top"/>
    </xf>
    <xf numFmtId="0" fontId="7" fillId="4" borderId="1" xfId="0" applyFont="1" applyFill="1" applyBorder="1" applyAlignment="1">
      <alignment vertical="top"/>
    </xf>
    <xf numFmtId="0" fontId="7" fillId="4" borderId="1" xfId="0" applyFont="1" applyFill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/>
    <xf numFmtId="0" fontId="0" fillId="0" borderId="1" xfId="0" applyBorder="1" applyAlignment="1">
      <alignment horizontal="center"/>
    </xf>
    <xf numFmtId="0" fontId="9" fillId="0" borderId="1" xfId="0" applyFont="1" applyBorder="1"/>
    <xf numFmtId="0" fontId="10" fillId="0" borderId="1" xfId="0" applyFont="1" applyBorder="1"/>
    <xf numFmtId="0" fontId="8" fillId="0" borderId="1" xfId="0" applyFont="1" applyBorder="1"/>
    <xf numFmtId="0" fontId="11" fillId="0" borderId="0" xfId="0" applyFont="1"/>
    <xf numFmtId="0" fontId="8" fillId="0" borderId="0" xfId="0" applyFont="1"/>
    <xf numFmtId="0" fontId="7" fillId="0" borderId="0" xfId="0" applyFont="1" applyAlignment="1">
      <alignment vertical="top" wrapText="1"/>
    </xf>
    <xf numFmtId="0" fontId="12" fillId="4" borderId="1" xfId="1" applyFill="1" applyBorder="1" applyAlignment="1">
      <alignment vertical="top"/>
    </xf>
    <xf numFmtId="0" fontId="13" fillId="4" borderId="1" xfId="0" applyFont="1" applyFill="1" applyBorder="1" applyAlignment="1">
      <alignment vertical="top"/>
    </xf>
    <xf numFmtId="0" fontId="13" fillId="4" borderId="1" xfId="0" applyFont="1" applyFill="1" applyBorder="1" applyAlignment="1">
      <alignment vertical="top" wrapText="1"/>
    </xf>
    <xf numFmtId="0" fontId="13" fillId="0" borderId="1" xfId="0" applyFont="1" applyBorder="1" applyAlignment="1">
      <alignment vertical="top" wrapText="1"/>
    </xf>
    <xf numFmtId="0" fontId="12" fillId="4" borderId="1" xfId="1" applyFill="1" applyBorder="1" applyAlignment="1">
      <alignment vertical="top" wrapText="1"/>
    </xf>
    <xf numFmtId="0" fontId="12" fillId="0" borderId="1" xfId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cilities" displayName="Facilities" ref="A1:R100">
  <tableColumns count="18">
    <tableColumn id="1" xr3:uid="{00000000-0010-0000-0000-000001000000}" name="id"/>
    <tableColumn id="2" xr3:uid="{00000000-0010-0000-0000-000002000000}" name="name"/>
    <tableColumn id="3" xr3:uid="{00000000-0010-0000-0000-000003000000}" name="brand"/>
    <tableColumn id="4" xr3:uid="{00000000-0010-0000-0000-000004000000}" name="municipio"/>
    <tableColumn id="5" xr3:uid="{00000000-0010-0000-0000-000005000000}" name="postal_code"/>
    <tableColumn id="6" xr3:uid="{00000000-0010-0000-0000-000006000000}" name="address"/>
    <tableColumn id="7" xr3:uid="{00000000-0010-0000-0000-000007000000}" name="lat"/>
    <tableColumn id="8" xr3:uid="{00000000-0010-0000-0000-000008000000}" name="lng"/>
    <tableColumn id="9" xr3:uid="{00000000-0010-0000-0000-000009000000}" name="place_id"/>
    <tableColumn id="10" xr3:uid="{00000000-0010-0000-0000-00000A000000}" name="phone"/>
    <tableColumn id="11" xr3:uid="{00000000-0010-0000-0000-00000B000000}" name="website"/>
    <tableColumn id="12" xr3:uid="{00000000-0010-0000-0000-00000C000000}" name="rating"/>
    <tableColumn id="13" xr3:uid="{00000000-0010-0000-0000-00000D000000}" name="rating_count"/>
    <tableColumn id="14" xr3:uid="{00000000-0010-0000-0000-00000E000000}" name="nla_sqm"/>
    <tableColumn id="15" xr3:uid="{00000000-0010-0000-0000-00000F000000}" name="constructed_area_sqm"/>
    <tableColumn id="16" xr3:uid="{00000000-0010-0000-0000-000010000000}" name="confidence"/>
    <tableColumn id="17" xr3:uid="{00000000-0010-0000-0000-000011000000}" name="source_url"/>
    <tableColumn id="18" xr3:uid="{00000000-0010-0000-0000-000012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8B5118D-8B16-4790-AEE2-A8CB54D3E388}" name="UnitTable" displayName="UnitTable" ref="A1:C39" totalsRowShown="0">
  <autoFilter ref="A1:C39" xr:uid="{28B5118D-8B16-4790-AEE2-A8CB54D3E388}">
    <filterColumn colId="2">
      <filters>
        <filter val="ALMACEN"/>
      </filters>
    </filterColumn>
  </autoFilter>
  <tableColumns count="3">
    <tableColumn id="1" xr3:uid="{01632B37-C4B6-4A68-AAF1-D33CD1837B08}" name="Código"/>
    <tableColumn id="2" xr3:uid="{F9091963-8BF8-43F2-90CF-604F80A76736}" name="Sup. en m²"/>
    <tableColumn id="3" xr3:uid="{D66634BE-C492-43B9-B23E-F79DC60357ED}" name="Descrip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E0FB4DD-46DC-4B47-9CD0-9359714DDE2D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18bed098-fa33-4a33-bbe1-117a682a8182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1.sedecatastro.gob.es/CYCBienInmueble/OVCConCiud.aspx?UrbRus=U&amp;RefC=1953220UF7615S0001DQ&amp;esBice=&amp;RCBice1=&amp;RCBice2=&amp;DenoBice=&amp;from=OVCBusqueda&amp;pest=rc&amp;RCCompleta=1953220UF7615S&amp;final=&amp;del=29&amp;mun=900" TargetMode="External"/><Relationship Id="rId21" Type="http://schemas.openxmlformats.org/officeDocument/2006/relationships/hyperlink" Target="http://www.trasterosyalmacenes.com/" TargetMode="External"/><Relationship Id="rId42" Type="http://schemas.openxmlformats.org/officeDocument/2006/relationships/hyperlink" Target="https://www.islatrans.es/" TargetMode="External"/><Relationship Id="rId63" Type="http://schemas.openxmlformats.org/officeDocument/2006/relationships/hyperlink" Target="https://www.full-storage.com/" TargetMode="External"/><Relationship Id="rId84" Type="http://schemas.openxmlformats.org/officeDocument/2006/relationships/hyperlink" Target="https://www.facebook.com/profile.php?id=61553383076875" TargetMode="External"/><Relationship Id="rId138" Type="http://schemas.openxmlformats.org/officeDocument/2006/relationships/hyperlink" Target="https://www1.sedecatastro.gob.es/CYCBienInmueble/OVCConCiud.aspx?UrbRus=U&amp;RefC=8415319UF3481N0001DP&amp;esBice=&amp;RCBice1=&amp;RCBice2=&amp;DenoBice=&amp;from=OVCBusqueda&amp;pest=rc&amp;RCCompleta=8415319UF3481N&amp;final=&amp;del=29&amp;mun=69" TargetMode="External"/><Relationship Id="rId159" Type="http://schemas.openxmlformats.org/officeDocument/2006/relationships/hyperlink" Target="https://storagecosta.com/our-prices/" TargetMode="External"/><Relationship Id="rId170" Type="http://schemas.openxmlformats.org/officeDocument/2006/relationships/hyperlink" Target="https://www1.sedecatastro.gob.es/CYCBienInmueble/OVCListaBienes.aspx?RC1=2822202&amp;RC2=UF6522S&amp;RC3=&amp;RC4=&amp;esBice=&amp;RCBice1=&amp;RCBice2=&amp;DenoBice=&amp;pest=rc&amp;final=&amp;RCCompleta=2822202UF6522S&amp;from=OVCBusqueda&amp;tipoCarto=nuevo&amp;ZV=NO&amp;ZR=NO&amp;anyoZV=&amp;strFechaVR=&amp;tematicos=&amp;anyotem=&amp;historica=&amp;coordinadas=&amp;antecedentes=" TargetMode="External"/><Relationship Id="rId107" Type="http://schemas.openxmlformats.org/officeDocument/2006/relationships/hyperlink" Target="https://www1.sedecatastro.gob.es/CYCBienInmueble/OVCConCiud.aspx?del=29&amp;mun=900&amp;UrbRus=U&amp;RefC=8535103UF6683N0001LZ&amp;Apenom=&amp;esBice=&amp;RCBice1=&amp;RCBice2=&amp;DenoBice=&amp;from=nuevoVisor&amp;ZV=NO&amp;anyoZV=" TargetMode="External"/><Relationship Id="rId11" Type="http://schemas.openxmlformats.org/officeDocument/2006/relationships/hyperlink" Target="http://trasteroz.com/" TargetMode="External"/><Relationship Id="rId32" Type="http://schemas.openxmlformats.org/officeDocument/2006/relationships/hyperlink" Target="https://www.islatrans.es/trasteros-en-bailen-miraflores/" TargetMode="External"/><Relationship Id="rId53" Type="http://schemas.openxmlformats.org/officeDocument/2006/relationships/hyperlink" Target="http://www.trastum.com/" TargetMode="External"/><Relationship Id="rId74" Type="http://schemas.openxmlformats.org/officeDocument/2006/relationships/hyperlink" Target="http://www.storadorsl.com/" TargetMode="External"/><Relationship Id="rId128" Type="http://schemas.openxmlformats.org/officeDocument/2006/relationships/hyperlink" Target="https://www1.sedecatastro.gob.es/CYCBienInmueble/OVCListaBienes.aspx?RC1=1115101&amp;RC2=VF0711N&amp;RC3=&amp;RC4=&amp;esBice=&amp;RCBice1=&amp;RCBice2=&amp;DenoBice=&amp;pest=rc&amp;final=&amp;RCCompleta=1115101VF0711N&amp;from=OVCBusqueda&amp;tipoCarto=nuevo&amp;ZV=NO&amp;ZR=NO&amp;anyoZV=&amp;strFechaVR=&amp;tematicos=&amp;anyotem=&amp;historica=&amp;coordinadas=&amp;antecedentes=" TargetMode="External"/><Relationship Id="rId149" Type="http://schemas.openxmlformats.org/officeDocument/2006/relationships/hyperlink" Target="https://beheer.myyounit.nl/checkout/self-storage-carihuela/6R5bvjfG?language=es" TargetMode="External"/><Relationship Id="rId5" Type="http://schemas.openxmlformats.org/officeDocument/2006/relationships/hyperlink" Target="http://www.cubox.com.es/" TargetMode="External"/><Relationship Id="rId95" Type="http://schemas.openxmlformats.org/officeDocument/2006/relationships/hyperlink" Target="https://www1.sedecatastro.gob.es/CYCBienInmueble/OVCListaBienes.aspx?RC1=3512302&amp;RC2=UF6531S&amp;RC3=&amp;RC4=&amp;esBice=&amp;RCBice1=&amp;RCBice2=&amp;DenoBice=&amp;pest=rc&amp;final=&amp;RCCompleta=3512302UF6531S&amp;from=OVCBusqueda&amp;tipoCarto=nuevo&amp;ZV=NO&amp;ZR=NO&amp;anyoZV=&amp;strFechaVR=&amp;tematicos=&amp;anyotem=&amp;historica=&amp;coordinadas=&amp;antecedentes=" TargetMode="External"/><Relationship Id="rId160" Type="http://schemas.openxmlformats.org/officeDocument/2006/relationships/hyperlink" Target="https://necesitountrastero.es/alquiler-de-trasteros-en-estepona/" TargetMode="External"/><Relationship Id="rId22" Type="http://schemas.openxmlformats.org/officeDocument/2006/relationships/hyperlink" Target="https://fierostorage.com/trasteros-malaga/" TargetMode="External"/><Relationship Id="rId43" Type="http://schemas.openxmlformats.org/officeDocument/2006/relationships/hyperlink" Target="https://ustore-it.eu/location/torremolinos-alhaurin-de-la-torre/" TargetMode="External"/><Relationship Id="rId64" Type="http://schemas.openxmlformats.org/officeDocument/2006/relationships/hyperlink" Target="http://www.bluestripestorage.com/" TargetMode="External"/><Relationship Id="rId118" Type="http://schemas.openxmlformats.org/officeDocument/2006/relationships/hyperlink" Target="https://www1.sedecatastro.gob.es/CYCBienInmueble/OVCListaBienes.aspx?RC1=3759103&amp;RC2=UF7635N&amp;RC3=&amp;RC4=&amp;esBice=&amp;RCBice1=&amp;RCBice2=&amp;DenoBice=&amp;pest=rc&amp;final=&amp;RCCompleta=3759103UF7635N&amp;from=OVCBusqueda&amp;tipoCarto=nuevo&amp;ZV=NO&amp;ZR=NO&amp;anyoZV=&amp;strFechaVR=&amp;tematicos=&amp;anyotem=&amp;historica=&amp;coordinadas=&amp;antecedentes=" TargetMode="External"/><Relationship Id="rId139" Type="http://schemas.openxmlformats.org/officeDocument/2006/relationships/hyperlink" Target="https://www1.sedecatastro.gob.es/CYCBienInmueble/OVCConCiud.aspx?UrbRus=U&amp;RefC=2817309UF2421N0001AB&amp;esBice=&amp;RCBice1=&amp;RCBice2=&amp;DenoBice=&amp;from=OVCBusqueda&amp;pest=rc&amp;RCCompleta=2817309UF2421N&amp;final=&amp;del=29&amp;mun=69" TargetMode="External"/><Relationship Id="rId85" Type="http://schemas.openxmlformats.org/officeDocument/2006/relationships/hyperlink" Target="https://trasterosronda.com/" TargetMode="External"/><Relationship Id="rId150" Type="http://schemas.openxmlformats.org/officeDocument/2006/relationships/hyperlink" Target="https://trasteroz.com/en/" TargetMode="External"/><Relationship Id="rId171" Type="http://schemas.openxmlformats.org/officeDocument/2006/relationships/hyperlink" Target="https://www1.sedecatastro.gob.es/CYCBienInmueble/OVCConCiud.aspx?del=29&amp;mun=41&amp;UrbRus=U&amp;RefC=000802300TF92C0001PS&amp;Apenom=&amp;esBice=&amp;RCBice1=&amp;RCBice2=&amp;DenoBice=&amp;from=nuevoVisor&amp;ZV=NO&amp;anyoZV=" TargetMode="External"/><Relationship Id="rId12" Type="http://schemas.openxmlformats.org/officeDocument/2006/relationships/hyperlink" Target="https://www.trasteroz.com/" TargetMode="External"/><Relationship Id="rId33" Type="http://schemas.openxmlformats.org/officeDocument/2006/relationships/hyperlink" Target="https://dantrasteros.com/" TargetMode="External"/><Relationship Id="rId108" Type="http://schemas.openxmlformats.org/officeDocument/2006/relationships/hyperlink" Target="https://www1.sedecatastro.gob.es/CYCBienInmueble/OVCConCiud.aspx?del=29&amp;mun=900&amp;UrbRus=U&amp;RefC=3174301UF7637S0001LB&amp;Apenom=&amp;esBice=&amp;RCBice1=&amp;RCBice2=&amp;DenoBice=&amp;from=nuevoVisor&amp;ZV=NO&amp;anyoZV=" TargetMode="External"/><Relationship Id="rId129" Type="http://schemas.openxmlformats.org/officeDocument/2006/relationships/hyperlink" Target="https://www1.sedecatastro.gob.es/CYCBienInmueble/OVCListaBienes.aspx?RC1=1217114&amp;RC2=VF0711N&amp;RC3=&amp;RC4=&amp;esBice=&amp;RCBice1=&amp;RCBice2=&amp;DenoBice=&amp;pest=rc&amp;final=&amp;RCCompleta=1217114VF0711N&amp;from=OVCBusqueda&amp;tipoCarto=nuevo&amp;ZV=NO&amp;ZR=NO&amp;anyoZV=&amp;strFechaVR=&amp;tematicos=&amp;anyotem=&amp;historica=&amp;coordinadas=&amp;antecedentes=" TargetMode="External"/><Relationship Id="rId54" Type="http://schemas.openxmlformats.org/officeDocument/2006/relationships/hyperlink" Target="http://www.store-it.es/" TargetMode="External"/><Relationship Id="rId75" Type="http://schemas.openxmlformats.org/officeDocument/2006/relationships/hyperlink" Target="http://www.full-storage.com/" TargetMode="External"/><Relationship Id="rId96" Type="http://schemas.openxmlformats.org/officeDocument/2006/relationships/hyperlink" Target="https://www1.sedecatastro.gob.es/CYCBienInmueble/OVCListaBienes.aspx?RC1=7602309&amp;RC2=UF5570S&amp;RC3=&amp;RC4=&amp;esBice=&amp;RCBice1=&amp;RCBice2=&amp;DenoBice=&amp;pest=rc&amp;final=&amp;RCCompleta=7602309UF5570S&amp;from=OVCBusqueda&amp;tipoCarto=nuevo&amp;ZV=NO&amp;ZR=NO&amp;anyoZV=&amp;strFechaVR=&amp;tematicos=&amp;anyotem=&amp;historica=&amp;coordinadas=&amp;antecedentes=" TargetMode="External"/><Relationship Id="rId140" Type="http://schemas.openxmlformats.org/officeDocument/2006/relationships/hyperlink" Target="https://www1.sedecatastro.gob.es/CYCBienInmueble/OVCListaBienes.aspx?RC1=1609402&amp;RC2=UF2410N&amp;RC3=&amp;RC4=&amp;esBice=&amp;RCBice1=&amp;RCBice2=&amp;DenoBice=&amp;pest=rc&amp;final=&amp;RCCompleta=1609402UF2410N&amp;from=OVCBusqueda&amp;tipoCarto=nuevo&amp;ZV=NO&amp;ZR=NO&amp;anyoZV=&amp;strFechaVR=&amp;tematicos=&amp;anyotem=&amp;historica=&amp;coordinadas=&amp;antecedentes=" TargetMode="External"/><Relationship Id="rId161" Type="http://schemas.openxmlformats.org/officeDocument/2006/relationships/hyperlink" Target="https://www1.sedecatastro.gob.es/CYCBienInmueble/OVCConCiud.aspx?del=29&amp;mun=51&amp;UrbRus=U&amp;RefC=5939423UF0353N0001FF&amp;Apenom=&amp;esBice=&amp;RCBice1=&amp;RCBice2=&amp;DenoBice=&amp;from=nuevoVisor&amp;ZV=NO&amp;anyoZV=" TargetMode="External"/><Relationship Id="rId6" Type="http://schemas.openxmlformats.org/officeDocument/2006/relationships/hyperlink" Target="https://www.selfstoragecostadelsol.com/" TargetMode="External"/><Relationship Id="rId23" Type="http://schemas.openxmlformats.org/officeDocument/2006/relationships/hyperlink" Target="https://www.islatrans.es/trasteros-en-malaga/" TargetMode="External"/><Relationship Id="rId28" Type="http://schemas.openxmlformats.org/officeDocument/2006/relationships/hyperlink" Target="https://www.instagram.com/trastero.malaga" TargetMode="External"/><Relationship Id="rId49" Type="http://schemas.openxmlformats.org/officeDocument/2006/relationships/hyperlink" Target="https://www.trasterosaxarquia.com/" TargetMode="External"/><Relationship Id="rId114" Type="http://schemas.openxmlformats.org/officeDocument/2006/relationships/hyperlink" Target="https://www1.sedecatastro.gob.es/CYCBienInmueble/OVCListaBienes.aspx?RC1=1953116&amp;RC2=UF7615S&amp;RC3=&amp;RC4=&amp;esBice=&amp;RCBice1=&amp;RCBice2=&amp;DenoBice=&amp;pest=rc&amp;final=&amp;RCCompleta=1953116UF7615S&amp;from=OVCBusqueda&amp;tipoCarto=nuevo&amp;ZV=NO&amp;ZR=NO&amp;anyoZV=&amp;strFechaVR=&amp;tematicos=&amp;anyotem=&amp;historica=&amp;coordinadas=&amp;antecedentes=" TargetMode="External"/><Relationship Id="rId119" Type="http://schemas.openxmlformats.org/officeDocument/2006/relationships/hyperlink" Target="https://www1.sedecatastro.gob.es/CYCBienInmueble/OVCListaBienes.aspx?RC1=1859147&amp;RC2=UF7615N&amp;RC3=&amp;RC4=&amp;esBice=&amp;RCBice1=&amp;RCBice2=&amp;DenoBice=&amp;pest=rc&amp;final=&amp;RCCompleta=1859147UF7615N&amp;from=OVCBusqueda&amp;tipoCarto=nuevo&amp;ZV=NO&amp;ZR=NO&amp;anyoZV=&amp;strFechaVR=&amp;tematicos=&amp;anyotem=&amp;historica=&amp;coordinadas=&amp;antecedentes=" TargetMode="External"/><Relationship Id="rId44" Type="http://schemas.openxmlformats.org/officeDocument/2006/relationships/hyperlink" Target="https://www.selfstorageenmalaga.com/" TargetMode="External"/><Relationship Id="rId60" Type="http://schemas.openxmlformats.org/officeDocument/2006/relationships/hyperlink" Target="http://marbellaselfstorage.com/" TargetMode="External"/><Relationship Id="rId65" Type="http://schemas.openxmlformats.org/officeDocument/2006/relationships/hyperlink" Target="https://www.ustore-it.eu/san-pedro/" TargetMode="External"/><Relationship Id="rId81" Type="http://schemas.openxmlformats.org/officeDocument/2006/relationships/hyperlink" Target="http://www.trasterosya.com/" TargetMode="External"/><Relationship Id="rId86" Type="http://schemas.openxmlformats.org/officeDocument/2006/relationships/hyperlink" Target="https://www1.sedecatastro.gob.es/CYCBienInmueble/OVCListaBienes.aspx?via=VIRGEN@DE@FATIMA&amp;tipoVia=CL&amp;numero=1&amp;kilometro=&amp;bloque=&amp;escalera=&amp;planta=&amp;puerta=&amp;DescProv=MALAGA&amp;prov=29&amp;muni=70&amp;DescMuni=MIJAS&amp;TipUR=U&amp;codvia=429&amp;comVia=VIRGEN%20DE%20FATIMA%20(CALLE)&amp;pest=urbana&amp;from=OVCBusqueda&amp;nomusu=%20&amp;tipousu=&amp;ZV=NO&amp;ZR=NO&amp;anyoZV=&amp;tematicos=&amp;anyotem=&amp;historica=&amp;coordinadas=&amp;antecedentes=" TargetMode="External"/><Relationship Id="rId130" Type="http://schemas.openxmlformats.org/officeDocument/2006/relationships/hyperlink" Target="https://www1.sedecatastro.gob.es/CYCBienInmueble/OVCListaBienes.aspx?RC1=2070101&amp;RC2=VF0627S&amp;RC3=&amp;RC4=&amp;esBice=&amp;RCBice1=&amp;RCBice2=&amp;DenoBice=&amp;pest=rc&amp;final=&amp;RCCompleta=2070101VF0627S&amp;from=OVCBusqueda&amp;tipoCarto=nuevo&amp;ZV=NO&amp;ZR=NO&amp;anyoZV=&amp;strFechaVR=&amp;tematicos=&amp;anyotem=&amp;historica=&amp;coordinadas=&amp;antecedentes=" TargetMode="External"/><Relationship Id="rId135" Type="http://schemas.openxmlformats.org/officeDocument/2006/relationships/hyperlink" Target="https://www.google.com/maps/place/Abilplus+Marbella+-+Alquiler+de+trasteros+en+Marbella+-+Guardamuebles+y+Mudanzas/@36.5108676,-4.9008557,19z/data=!3m1!4b1!4m6!3m5!1s0xd72d7e024fce483:0xec1ad9acb4b60670!8m2!3d36.5108665!4d-4.900212!16s%2Fg%2F11frzd6313?entry=ttu&amp;g_ep=EgoyMDI2MDQyMi4wIKXMDSoASAFQAw%3D%3D" TargetMode="External"/><Relationship Id="rId151" Type="http://schemas.openxmlformats.org/officeDocument/2006/relationships/hyperlink" Target="https://trasteroz.com/en/" TargetMode="External"/><Relationship Id="rId156" Type="http://schemas.openxmlformats.org/officeDocument/2006/relationships/hyperlink" Target="https://materialesdeconstruccionjoma.com/alquiler-de-trasteros/" TargetMode="External"/><Relationship Id="rId177" Type="http://schemas.openxmlformats.org/officeDocument/2006/relationships/hyperlink" Target="https://www1.sedecatastro.gob.es/CYCBienInmueble/OVCListaBienes.aspx?RC1=8297205&amp;RC2=UF0689N&amp;RC3=&amp;RC4=&amp;esBice=&amp;RCBice1=&amp;RCBice2=&amp;DenoBice=&amp;pest=rc&amp;final=&amp;RCCompleta=8297205UF0689N&amp;from=OVCBusqueda&amp;tipoCarto=nuevo&amp;ZV=NO&amp;ZR=NO&amp;anyoZV=&amp;strFechaVR=&amp;tematicos=&amp;anyotem=&amp;historica=&amp;coordinadas=&amp;antecedentes=" TargetMode="External"/><Relationship Id="rId172" Type="http://schemas.openxmlformats.org/officeDocument/2006/relationships/hyperlink" Target="https://www1.sedecatastro.gob.es/CYCBienInmueble/OVCConCiud.aspx?del=29&amp;mun=68&amp;UrbRus=U&amp;RefC=7593713TF9279S0001JG&amp;Apenom=&amp;esBice=&amp;RCBice1=&amp;RCBice2=&amp;DenoBice=&amp;from=nuevoVisor&amp;ZV=NO&amp;anyoZV=" TargetMode="External"/><Relationship Id="rId13" Type="http://schemas.openxmlformats.org/officeDocument/2006/relationships/hyperlink" Target="https://easyboxtrasteros.es/alquiler-trasteros-torremolinos/" TargetMode="External"/><Relationship Id="rId18" Type="http://schemas.openxmlformats.org/officeDocument/2006/relationships/hyperlink" Target="https://www.keepy.es/alquiler-de-trasteros-malaga.php" TargetMode="External"/><Relationship Id="rId39" Type="http://schemas.openxmlformats.org/officeDocument/2006/relationships/hyperlink" Target="https://www.trasterosplus.es/alquiler-trasteros/la-princesa/" TargetMode="External"/><Relationship Id="rId109" Type="http://schemas.openxmlformats.org/officeDocument/2006/relationships/hyperlink" Target="https://www1.sedecatastro.gob.es/CYCBienInmueble/OVCListaBienes.aspx?RC1=5235119&amp;RC2=UF6653N&amp;RC3=&amp;RC4=&amp;esBice=&amp;RCBice1=&amp;RCBice2=&amp;DenoBice=&amp;pest=rc&amp;final=&amp;RCCompleta=5235119UF6653N&amp;from=OVCBusqueda&amp;tipoCarto=nuevo&amp;ZV=NO&amp;ZR=NO&amp;anyoZV=&amp;strFechaVR=&amp;tematicos=&amp;anyotem=&amp;historica=&amp;coordinadas=&amp;antecedentes=" TargetMode="External"/><Relationship Id="rId34" Type="http://schemas.openxmlformats.org/officeDocument/2006/relationships/hyperlink" Target="http://www.trasterosmalagacentro.es/" TargetMode="External"/><Relationship Id="rId50" Type="http://schemas.openxmlformats.org/officeDocument/2006/relationships/hyperlink" Target="https://www.trasterosvelasco.com/" TargetMode="External"/><Relationship Id="rId55" Type="http://schemas.openxmlformats.org/officeDocument/2006/relationships/hyperlink" Target="https://www.guardamueblesmalaga.eu/" TargetMode="External"/><Relationship Id="rId76" Type="http://schemas.openxmlformats.org/officeDocument/2006/relationships/hyperlink" Target="http://simontrasteros.com/" TargetMode="External"/><Relationship Id="rId97" Type="http://schemas.openxmlformats.org/officeDocument/2006/relationships/hyperlink" Target="https://www1.sedecatastro.gob.es/CYCBienInmueble/OVCListaBienes.aspx?RC1=1411601&amp;RC2=UF2411S&amp;RC3=&amp;RC4=&amp;esBice=&amp;RCBice1=&amp;RCBice2=&amp;DenoBice=&amp;pest=rc&amp;final=&amp;RCCompleta=1411601UF2411S&amp;from=OVCBusqueda&amp;tipoCarto=nuevo&amp;ZV=NO&amp;ZR=NO&amp;anyoZV=&amp;strFechaVR=&amp;tematicos=&amp;anyotem=&amp;historica=&amp;coordinadas=&amp;antecedentes=" TargetMode="External"/><Relationship Id="rId104" Type="http://schemas.openxmlformats.org/officeDocument/2006/relationships/hyperlink" Target="https://www1.sedecatastro.gob.es/CYCBienInmueble/OVCConCiud.aspx?del=29&amp;mun=80&amp;UrbRus=R&amp;RefC=29080A016000150000AR&amp;Apenom=&amp;esBice=&amp;RCBice1=&amp;RCBice2=&amp;DenoBice=&amp;from=nuevoVisor&amp;ZV=NO&amp;anyoZV=" TargetMode="External"/><Relationship Id="rId120" Type="http://schemas.openxmlformats.org/officeDocument/2006/relationships/hyperlink" Target="https://www1.sedecatastro.gob.es/CYCBienInmueble/OVCListaBienes.aspx?RC1=2443106&amp;RC2=UF7624S&amp;RC3=&amp;RC4=&amp;esBice=&amp;RCBice1=&amp;RCBice2=&amp;DenoBice=&amp;pest=rc&amp;final=&amp;RCCompleta=2443106UF7624S&amp;from=OVCBusqueda&amp;tipoCarto=nuevo&amp;ZV=NO&amp;ZR=NO&amp;anyoZV=&amp;strFechaVR=&amp;tematicos=&amp;anyotem=&amp;historica=&amp;coordinadas=&amp;antecedentes=" TargetMode="External"/><Relationship Id="rId125" Type="http://schemas.openxmlformats.org/officeDocument/2006/relationships/hyperlink" Target="https://www1.sedecatastro.gob.es/CYCBienInmueble/OVCConCiud.aspx?UrbRus=U&amp;RefC=2295108VF0629N0001DJ&amp;esBice=&amp;RCBice1=&amp;RCBice2=&amp;DenoBice=&amp;from=OVCBusqueda&amp;pest=rc&amp;RCCompleta=2295108VF0629N&amp;final=&amp;del=29&amp;mun=94" TargetMode="External"/><Relationship Id="rId141" Type="http://schemas.openxmlformats.org/officeDocument/2006/relationships/hyperlink" Target="https://www1.sedecatastro.gob.es/CYCBienInmueble/OVCConCiud.aspx?UrbRus=U&amp;RefC=1511701UF2411S0001TQ&amp;esBice=&amp;RCBice1=&amp;RCBice2=&amp;DenoBice=&amp;from=OVCBusqueda&amp;pest=rc&amp;RCCompleta=1511701UF2411S&amp;final=&amp;del=29&amp;mun=69" TargetMode="External"/><Relationship Id="rId146" Type="http://schemas.openxmlformats.org/officeDocument/2006/relationships/hyperlink" Target="https://www1.sedecatastro.gob.es/CYCBienInmueble/OVCListaBienes.aspx?RC1=3963201&amp;RC2=UF5436S&amp;RC3=&amp;RC4=&amp;esBice=&amp;RCBice1=&amp;RCBice2=&amp;DenoBice=&amp;pest=rc&amp;final=&amp;RCCompleta=3963201UF5436S&amp;from=OVCBusqueda&amp;tipoCarto=nuevo&amp;ZV=NO&amp;ZR=NO&amp;anyoZV=&amp;strFechaVR=&amp;tematicos=&amp;anyotem=&amp;historica=&amp;coordinadas=&amp;antecedentes=" TargetMode="External"/><Relationship Id="rId167" Type="http://schemas.openxmlformats.org/officeDocument/2006/relationships/hyperlink" Target="https://www1.sedecatastro.gob.es/CYCBienInmueble/OVCConCiud.aspx?del=29&amp;mun=8&amp;UrbRus=U&amp;RefC=8887809UF4588N0001OI&amp;Apenom=&amp;esBice=&amp;RCBice1=&amp;RCBice2=&amp;DenoBice=&amp;from=nuevoVisor&amp;ZV=NO&amp;anyoZV=" TargetMode="External"/><Relationship Id="rId7" Type="http://schemas.openxmlformats.org/officeDocument/2006/relationships/hyperlink" Target="https://www.islatrans.es/trasteros-en-torremolinos/" TargetMode="External"/><Relationship Id="rId71" Type="http://schemas.openxmlformats.org/officeDocument/2006/relationships/hyperlink" Target="http://storagecosta.com/" TargetMode="External"/><Relationship Id="rId92" Type="http://schemas.openxmlformats.org/officeDocument/2006/relationships/hyperlink" Target="https://www1.sedecatastro.gob.es/CYCBienInmueble/OVCListaBienes.aspx?RC1=2785701&amp;RC2=UF4528N&amp;RC3=&amp;RC4=&amp;esBice=&amp;RCBice1=&amp;RCBice2=&amp;DenoBice=&amp;pest=rc&amp;final=&amp;RCCompleta=2785701UF4528N&amp;from=OVCBusqueda&amp;tipoCarto=nuevo&amp;ZV=NO&amp;ZR=NO&amp;anyoZV=&amp;strFechaVR=&amp;tematicos=&amp;anyotem=&amp;historica=&amp;coordinadas=&amp;antecedentes=" TargetMode="External"/><Relationship Id="rId162" Type="http://schemas.openxmlformats.org/officeDocument/2006/relationships/hyperlink" Target="https://www1.sedecatastro.gob.es/CYCBienInmueble/OVCConCiud.aspx?del=29&amp;mun=51&amp;UrbRus=U&amp;RefC=5638507UF0353N0001HF&amp;Apenom=&amp;esBice=&amp;RCBice1=&amp;RCBice2=&amp;DenoBice=&amp;from=nuevoVisor&amp;ZV=NO&amp;anyoZV=" TargetMode="External"/><Relationship Id="rId2" Type="http://schemas.openxmlformats.org/officeDocument/2006/relationships/hyperlink" Target="https://www.trasterosplus.es/alquiler-trasteros/mijas-fuengirola/" TargetMode="External"/><Relationship Id="rId29" Type="http://schemas.openxmlformats.org/officeDocument/2006/relationships/hyperlink" Target="https://mitrasterocerca.com/malaga/malaga/" TargetMode="External"/><Relationship Id="rId24" Type="http://schemas.openxmlformats.org/officeDocument/2006/relationships/hyperlink" Target="https://www.trasterosplus.es/alquiler-trasteros/san-millan/" TargetMode="External"/><Relationship Id="rId40" Type="http://schemas.openxmlformats.org/officeDocument/2006/relationships/hyperlink" Target="http://www.trasteroscampanillas.com/" TargetMode="External"/><Relationship Id="rId45" Type="http://schemas.openxmlformats.org/officeDocument/2006/relationships/hyperlink" Target="http://www.selfstoragealhaurin.com/" TargetMode="External"/><Relationship Id="rId66" Type="http://schemas.openxmlformats.org/officeDocument/2006/relationships/hyperlink" Target="http://www.warda-trasteros.com/" TargetMode="External"/><Relationship Id="rId87" Type="http://schemas.openxmlformats.org/officeDocument/2006/relationships/hyperlink" Target="https://www1.sedecatastro.gob.es/CYCBienInmueble/OVCConCiud.aspx?del=29&amp;mun=103&amp;UrbRus=U&amp;RefC=4730207UF6543S0001SI&amp;Apenom=&amp;esBice=&amp;RCBice1=&amp;RCBice2=&amp;DenoBice=&amp;from=nuevoVisor&amp;ZV=NO&amp;anyoZV=" TargetMode="External"/><Relationship Id="rId110" Type="http://schemas.openxmlformats.org/officeDocument/2006/relationships/hyperlink" Target="https://www1.sedecatastro.gob.es/CYCBienInmueble/OVCListaBienes.aspx?RC1=2525128&amp;RC2=UF3422N&amp;RC3=&amp;RC4=&amp;esBice=&amp;RCBice1=&amp;RCBice2=&amp;DenoBice=&amp;pest=rc&amp;final=&amp;RCCompleta=2525128UF3422N&amp;from=OVCBusqueda&amp;tipoCarto=nuevo&amp;ZV=NO&amp;ZR=NO&amp;anyoZV=&amp;strFechaVR=&amp;tematicos=&amp;anyotem=&amp;historica=&amp;coordinadas=&amp;antecedentes=" TargetMode="External"/><Relationship Id="rId115" Type="http://schemas.openxmlformats.org/officeDocument/2006/relationships/hyperlink" Target="https://www1.sedecatastro.gob.es/CYCBienInmueble/OVCListaBienes.aspx?RC1=2341101&amp;RC2=UF7624S&amp;RC3=&amp;RC4=&amp;esBice=&amp;RCBice1=&amp;RCBice2=&amp;DenoBice=&amp;pest=rc&amp;final=&amp;RCCompleta=2341101UF7624S&amp;from=OVCBusqueda&amp;tipoCarto=nuevo&amp;ZV=NO&amp;ZR=NO&amp;anyoZV=&amp;strFechaVR=&amp;tematicos=&amp;anyotem=&amp;historica=&amp;coordinadas=&amp;antecedentes=" TargetMode="External"/><Relationship Id="rId131" Type="http://schemas.openxmlformats.org/officeDocument/2006/relationships/hyperlink" Target="https://www1.sedecatastro.gob.es/CYCBienInmueble/OVCListaBienes.aspx?RC1=2670105&amp;RC2=VF0627S&amp;RC3=&amp;RC4=&amp;esBice=&amp;RCBice1=&amp;RCBice2=&amp;DenoBice=&amp;pest=rc&amp;final=&amp;RCCompleta=2670105VF0627S&amp;from=OVCBusqueda&amp;tipoCarto=nuevo&amp;ZV=NO&amp;ZR=NO&amp;anyoZV=&amp;strFechaVR=&amp;tematicos=&amp;anyotem=&amp;historica=&amp;coordinadas=&amp;antecedentes=" TargetMode="External"/><Relationship Id="rId136" Type="http://schemas.openxmlformats.org/officeDocument/2006/relationships/hyperlink" Target="https://www.google.com/maps/place/Trasteros+Marbella/@36.5123982,-4.8630421,190m/data=!3m1!1e3!4m6!3m5!1s0xd72d9fd12a41809:0x86bc88339038cc2a!8m2!3d36.5122702!4d-4.8623622!16s%2Fg%2F11wqnx7q1z?entry=ttu&amp;g_ep=EgoyMDI2MDQyMi4wIKXMDSoASAFQAw%3D%3D" TargetMode="External"/><Relationship Id="rId157" Type="http://schemas.openxmlformats.org/officeDocument/2006/relationships/hyperlink" Target="https://materialesdeconstruccionjoma.com/alquiler-de-trasteros/" TargetMode="External"/><Relationship Id="rId178" Type="http://schemas.openxmlformats.org/officeDocument/2006/relationships/hyperlink" Target="https://www1.sedecatastro.gob.es/CYCBienInmueble/OVCListaBienes.aspx?RC1=7087701&amp;RC2=UF0678N&amp;RC3=&amp;RC4=&amp;esBice=&amp;RCBice1=&amp;RCBice2=&amp;DenoBice=&amp;pest=rc&amp;final=&amp;RCCompleta=7087701UF0678N&amp;from=OVCBusqueda&amp;tipoCarto=nuevo&amp;ZV=NO&amp;ZR=NO&amp;anyoZV=&amp;strFechaVR=&amp;tematicos=&amp;anyotem=&amp;historica=&amp;coordinadas=&amp;antecedentes=" TargetMode="External"/><Relationship Id="rId61" Type="http://schemas.openxmlformats.org/officeDocument/2006/relationships/hyperlink" Target="https://vikingselfstorage.es/" TargetMode="External"/><Relationship Id="rId82" Type="http://schemas.openxmlformats.org/officeDocument/2006/relationships/hyperlink" Target="https://habitatisalgeciras.com/" TargetMode="External"/><Relationship Id="rId152" Type="http://schemas.openxmlformats.org/officeDocument/2006/relationships/hyperlink" Target="https://trasteroz.com/en/" TargetMode="External"/><Relationship Id="rId173" Type="http://schemas.openxmlformats.org/officeDocument/2006/relationships/hyperlink" Target="https://www1.sedecatastro.gob.es/CYCBienInmueble/OVCConCiud.aspx?del=29&amp;mun=68&amp;UrbRus=U&amp;RefC=7492518TF9279S0001AG&amp;Apenom=&amp;esBice=&amp;RCBice1=&amp;RCBice2=&amp;DenoBice=&amp;from=nuevoVisor&amp;ZV=NO&amp;anyoZV=" TargetMode="External"/><Relationship Id="rId19" Type="http://schemas.openxmlformats.org/officeDocument/2006/relationships/hyperlink" Target="https://www.keepy.es/alquiler-de-trasteros-malaga-ciudad-jardin.php" TargetMode="External"/><Relationship Id="rId14" Type="http://schemas.openxmlformats.org/officeDocument/2006/relationships/hyperlink" Target="https://easyboxtrasteros.es/alquiler-trasteros-gamonal/" TargetMode="External"/><Relationship Id="rId30" Type="http://schemas.openxmlformats.org/officeDocument/2006/relationships/hyperlink" Target="https://trasterosmalagacapital.es/" TargetMode="External"/><Relationship Id="rId35" Type="http://schemas.openxmlformats.org/officeDocument/2006/relationships/hyperlink" Target="http://www.guardamueblemalaga.com/" TargetMode="External"/><Relationship Id="rId56" Type="http://schemas.openxmlformats.org/officeDocument/2006/relationships/hyperlink" Target="http://trasterosmarbella.es/" TargetMode="External"/><Relationship Id="rId77" Type="http://schemas.openxmlformats.org/officeDocument/2006/relationships/hyperlink" Target="https://www.hazespacio.com/" TargetMode="External"/><Relationship Id="rId100" Type="http://schemas.openxmlformats.org/officeDocument/2006/relationships/hyperlink" Target="https://www1.sedecatastro.gob.es/CYCBienInmueble/OVCListaBienes.aspx?RC1=5023301&amp;RC2=UF6552S&amp;RC3=&amp;RC4=&amp;esBice=&amp;RCBice1=&amp;RCBice2=&amp;DenoBice=&amp;pest=rc&amp;final=&amp;RCCompleta=5023301UF6552S&amp;from=OVCBusqueda&amp;tipoCarto=nuevo&amp;ZV=NO&amp;ZR=NO&amp;anyoZV=&amp;strFechaVR=&amp;tematicos=&amp;anyotem=&amp;historica=&amp;coordinadas=&amp;antecedentes=" TargetMode="External"/><Relationship Id="rId105" Type="http://schemas.openxmlformats.org/officeDocument/2006/relationships/hyperlink" Target="https://www1.sedecatastro.gob.es/CYCBienInmueble/OVCConCiud.aspx?del=29&amp;mun=80&amp;UrbRus=R&amp;RefC=29080A022000710000AM&amp;Apenom=&amp;esBice=&amp;RCBice1=&amp;RCBice2=&amp;DenoBice=&amp;from=nuevoVisor&amp;ZV=NO&amp;anyoZV=" TargetMode="External"/><Relationship Id="rId126" Type="http://schemas.openxmlformats.org/officeDocument/2006/relationships/hyperlink" Target="https://www1.sedecatastro.gob.es/CYCBienInmueble/OVCListaBienes.aspx?RC1=1805102&amp;RC2=VF0710N&amp;RC3=&amp;RC4=&amp;esBice=&amp;RCBice1=&amp;RCBice2=&amp;DenoBice=&amp;pest=rc&amp;final=&amp;RCCompleta=1805102VF0710N&amp;from=OVCBusqueda&amp;tipoCarto=nuevo&amp;ZV=NO&amp;ZR=NO&amp;anyoZV=&amp;strFechaVR=&amp;tematicos=&amp;anyotem=&amp;historica=&amp;coordinadas=&amp;antecedentes=" TargetMode="External"/><Relationship Id="rId147" Type="http://schemas.openxmlformats.org/officeDocument/2006/relationships/hyperlink" Target="https://www1.sedecatastro.gob.es/CYCBienInmueble/OVCListaBienes.aspx?RC1=0674101&amp;RC2=UF5407S&amp;RC3=&amp;RC4=&amp;esBice=&amp;RCBice1=&amp;RCBice2=&amp;DenoBice=&amp;pest=rc&amp;final=&amp;RCCompleta=0674101UF5407S&amp;from=OVCBusqueda&amp;tipoCarto=nuevo&amp;ZV=NO&amp;ZR=NO&amp;anyoZV=&amp;strFechaVR=&amp;tematicos=&amp;anyotem=&amp;historica=&amp;coordinadas=&amp;antecedentes=" TargetMode="External"/><Relationship Id="rId168" Type="http://schemas.openxmlformats.org/officeDocument/2006/relationships/hyperlink" Target="https://www1.sedecatastro.gob.es/CYCBienInmueble/OVCConCiud.aspx?del=29&amp;mun=8&amp;UrbRus=U&amp;RefC=8887319UF4588N0006AD&amp;Apenom=&amp;esBice=&amp;RCBice1=&amp;RCBice2=&amp;DenoBice=&amp;from=nuevoVisor&amp;ZV=NO&amp;anyoZV=" TargetMode="External"/><Relationship Id="rId8" Type="http://schemas.openxmlformats.org/officeDocument/2006/relationships/hyperlink" Target="https://www.trasterosplus.es/alquiler-trasteros/el-pinillo/" TargetMode="External"/><Relationship Id="rId51" Type="http://schemas.openxmlformats.org/officeDocument/2006/relationships/hyperlink" Target="https://trasterosaxarquia.com/" TargetMode="External"/><Relationship Id="rId72" Type="http://schemas.openxmlformats.org/officeDocument/2006/relationships/hyperlink" Target="https://www.warda-trasteros.com/" TargetMode="External"/><Relationship Id="rId93" Type="http://schemas.openxmlformats.org/officeDocument/2006/relationships/hyperlink" Target="https://www1.sedecatastro.gob.es/CYCBienInmueble/OVCConCiud.aspx?UrbRus=U&amp;RefC=7741115UF6674S0001JL&amp;RCCompleta=2785701UF4528N&amp;via=TER&amp;tipoVia=CL&amp;numero=36&amp;kilometro=&amp;bloque=&amp;escalera=&amp;planta=&amp;puerta=&amp;DescProv=MALAGA&amp;prov=29&amp;muni=900&amp;DescMuni=MALAGA&amp;TipUR=U&amp;codvia=2784&amp;comVia=TER%20(CALLE)&amp;pest=urbana&amp;from=OVCBusqueda&amp;del=29&amp;mun=900" TargetMode="External"/><Relationship Id="rId98" Type="http://schemas.openxmlformats.org/officeDocument/2006/relationships/hyperlink" Target="https://www1.sedecatastro.gob.es/CYCBienInmueble/OVCListaBienes.aspx?RC1=1611601&amp;RC2=UF2411S&amp;RC3=&amp;RC4=&amp;esBice=&amp;RCBice1=&amp;RCBice2=&amp;DenoBice=&amp;pest=rc&amp;final=&amp;RCCompleta=1611601UF2411S&amp;from=OVCBusqueda&amp;tipoCarto=nuevo&amp;ZV=NO&amp;ZR=NO&amp;anyoZV=&amp;strFechaVR=&amp;tematicos=&amp;anyotem=&amp;historica=&amp;coordinadas=&amp;antecedentes=" TargetMode="External"/><Relationship Id="rId121" Type="http://schemas.openxmlformats.org/officeDocument/2006/relationships/hyperlink" Target="https://www1.sedecatastro.gob.es/CYCBienInmueble/OVCConCiud.aspx?UrbRus=U&amp;RefC=8531123UF6683S0001PY&amp;esBice=&amp;RCBice1=&amp;RCBice2=&amp;DenoBice=&amp;from=OVCBusqueda&amp;pest=rc&amp;RCCompleta=8531123UF6683S&amp;final=&amp;del=29&amp;mun=900" TargetMode="External"/><Relationship Id="rId142" Type="http://schemas.openxmlformats.org/officeDocument/2006/relationships/hyperlink" Target="https://www1.sedecatastro.gob.es/CYCBienInmueble/OVCListaBienes.aspx?RC1=1611601&amp;RC2=UF2411S&amp;RC3=&amp;RC4=&amp;esBice=&amp;RCBice1=&amp;RCBice2=&amp;DenoBice=&amp;pest=rc&amp;final=&amp;RCCompleta=1611601UF2411S&amp;from=OVCBusqueda&amp;tipoCarto=nuevo&amp;ZV=NO&amp;ZR=NO&amp;anyoZV=&amp;strFechaVR=&amp;tematicos=&amp;anyotem=&amp;historica=&amp;coordinadas=&amp;antecedentes=" TargetMode="External"/><Relationship Id="rId163" Type="http://schemas.openxmlformats.org/officeDocument/2006/relationships/hyperlink" Target="https://www1.sedecatastro.gob.es/CYCBienInmueble/OVCConCiud.aspx?del=29&amp;mun=51&amp;UrbRus=U&amp;RefC=5537704UF0353N0001MF&amp;Apenom=&amp;esBice=&amp;RCBice1=&amp;RCBice2=&amp;DenoBice=&amp;from=nuevoVisor&amp;ZV=NO&amp;anyoZV=" TargetMode="External"/><Relationship Id="rId3" Type="http://schemas.openxmlformats.org/officeDocument/2006/relationships/hyperlink" Target="https://www.keepy.es/alquiler-de-trasteros-fuengirola.php" TargetMode="External"/><Relationship Id="rId25" Type="http://schemas.openxmlformats.org/officeDocument/2006/relationships/hyperlink" Target="https://www.trasterosplus.es/alquiler-trasteros/san-millan/" TargetMode="External"/><Relationship Id="rId46" Type="http://schemas.openxmlformats.org/officeDocument/2006/relationships/hyperlink" Target="https://westore4uspain.com/" TargetMode="External"/><Relationship Id="rId67" Type="http://schemas.openxmlformats.org/officeDocument/2006/relationships/hyperlink" Target="https://www.1easystore.com/" TargetMode="External"/><Relationship Id="rId116" Type="http://schemas.openxmlformats.org/officeDocument/2006/relationships/hyperlink" Target="https://www1.sedecatastro.gob.es/CYCBienInmueble/OVCListaBienes.aspx?RC1=1157701&amp;RC2=UF7615N&amp;RC3=&amp;RC4=&amp;esBice=&amp;RCBice1=&amp;RCBice2=&amp;DenoBice=&amp;pest=rc&amp;final=&amp;RCCompleta=1157701UF7615N&amp;from=OVCBusqueda&amp;tipoCarto=nuevo&amp;ZV=NO&amp;ZR=NO&amp;anyoZV=&amp;strFechaVR=&amp;tematicos=&amp;anyotem=&amp;historica=&amp;coordinadas=&amp;antecedentes=" TargetMode="External"/><Relationship Id="rId137" Type="http://schemas.openxmlformats.org/officeDocument/2006/relationships/hyperlink" Target="https://www1.sedecatastro.gob.es/CYCBienInmueble/OVCListaBienes.aspx?RC1=2823107&amp;RC2=UF3422S&amp;RC3=&amp;RC4=&amp;esBice=&amp;RCBice1=&amp;RCBice2=&amp;DenoBice=&amp;pest=rc&amp;final=&amp;RCCompleta=2823107UF3422S&amp;from=OVCBusqueda&amp;tipoCarto=nuevo&amp;ZV=NO&amp;ZR=NO&amp;anyoZV=&amp;strFechaVR=&amp;tematicos=&amp;anyotem=&amp;historica=&amp;coordinadas=&amp;antecedentes=" TargetMode="External"/><Relationship Id="rId158" Type="http://schemas.openxmlformats.org/officeDocument/2006/relationships/hyperlink" Target="https://imushu.es/" TargetMode="External"/><Relationship Id="rId20" Type="http://schemas.openxmlformats.org/officeDocument/2006/relationships/hyperlink" Target="https://www.keepy.es/" TargetMode="External"/><Relationship Id="rId41" Type="http://schemas.openxmlformats.org/officeDocument/2006/relationships/hyperlink" Target="https://www.islatrans.es/alquiler-de-trasteros/" TargetMode="External"/><Relationship Id="rId62" Type="http://schemas.openxmlformats.org/officeDocument/2006/relationships/hyperlink" Target="http://www.full-storage.com/" TargetMode="External"/><Relationship Id="rId83" Type="http://schemas.openxmlformats.org/officeDocument/2006/relationships/hyperlink" Target="https://guarda-muebles.com/" TargetMode="External"/><Relationship Id="rId88" Type="http://schemas.openxmlformats.org/officeDocument/2006/relationships/hyperlink" Target="https://www1.sedecatastro.gob.es/Cartografia/mapa.aspx?via=SAN@MILLAN&amp;tipoVia=CL&amp;numero=15&amp;kilometro=&amp;bloque=&amp;escalera=&amp;planta=&amp;puerta=&amp;DescProv=MALAGA&amp;prov=29&amp;muni=900&amp;DescMuni=MALAGA&amp;TipUR=U&amp;codvia=1188&amp;comVia=SAN%20MILLAN%20(CALLE)&amp;pest=urbana&amp;from=OVCBusqueda&amp;nomusu=%20&amp;tipousu=&amp;ZV=NO&amp;ZR=NO&amp;anyoZV=&amp;tematicos=&amp;anyotem=&amp;historica=&amp;coordinadas=&amp;antecedentes=&amp;cartografia=True&amp;ListaBienes=TRUE" TargetMode="External"/><Relationship Id="rId111" Type="http://schemas.openxmlformats.org/officeDocument/2006/relationships/hyperlink" Target="https://www1.sedecatastro.gob.es/CYCBienInmueble/OVCListaBienes.aspx?RC1=7438202&amp;RC2=UF0373N&amp;RC3=&amp;RC4=&amp;esBice=&amp;RCBice1=&amp;RCBice2=&amp;DenoBice=&amp;pest=rc&amp;final=&amp;RCCompleta=7438202UF0373N&amp;from=OVCBusqueda&amp;tipoCarto=nuevo&amp;ZV=NO&amp;ZR=NO&amp;anyoZV=&amp;strFechaVR=&amp;tematicos=&amp;anyotem=&amp;historica=&amp;coordinadas=&amp;antecedentes=" TargetMode="External"/><Relationship Id="rId132" Type="http://schemas.openxmlformats.org/officeDocument/2006/relationships/hyperlink" Target="https://www1.sedecatastro.gob.es/CYCBienInmueble/OVCListaBienes.aspx?RC1=2468421&amp;RC2=VF0626N&amp;RC3=&amp;RC4=&amp;esBice=&amp;RCBice1=&amp;RCBice2=&amp;DenoBice=&amp;pest=rc&amp;final=&amp;RCCompleta=2468421VF0626N&amp;from=OVCBusqueda&amp;tipoCarto=nuevo&amp;ZV=NO&amp;ZR=NO&amp;anyoZV=&amp;strFechaVR=&amp;tematicos=&amp;anyotem=&amp;historica=&amp;coordinadas=&amp;antecedentes=" TargetMode="External"/><Relationship Id="rId153" Type="http://schemas.openxmlformats.org/officeDocument/2006/relationships/hyperlink" Target="https://easyboxtrasteros.es/alquiler-trasteros-torremolinos/" TargetMode="External"/><Relationship Id="rId174" Type="http://schemas.openxmlformats.org/officeDocument/2006/relationships/hyperlink" Target="https://www1.sedecatastro.gob.es/CYCBienInmueble/OVCConCiud.aspx?del=29&amp;mun=68&amp;UrbRus=U&amp;RefC=7494303TF9279S0001BG&amp;Apenom=&amp;esBice=&amp;RCBice1=&amp;RCBice2=&amp;DenoBice=&amp;from=nuevoVisor&amp;ZV=NO&amp;anyoZV=" TargetMode="External"/><Relationship Id="rId179" Type="http://schemas.openxmlformats.org/officeDocument/2006/relationships/table" Target="../tables/table1.xml"/><Relationship Id="rId15" Type="http://schemas.openxmlformats.org/officeDocument/2006/relationships/hyperlink" Target="https://easyboxtrasteros.es/alquiler-trasteros-retamar/" TargetMode="External"/><Relationship Id="rId36" Type="http://schemas.openxmlformats.org/officeDocument/2006/relationships/hyperlink" Target="https://dantrasteros.com/" TargetMode="External"/><Relationship Id="rId57" Type="http://schemas.openxmlformats.org/officeDocument/2006/relationships/hyperlink" Target="https://www.rentaspacemarbella.com/" TargetMode="External"/><Relationship Id="rId106" Type="http://schemas.openxmlformats.org/officeDocument/2006/relationships/hyperlink" Target="https://www1.sedecatastro.gob.es/CYCBienInmueble/OVCConCiud.aspx?UrbRus=U&amp;RefC=3654218UF5435S0001IZ&amp;esBice=&amp;RCBice1=&amp;RCBice2=&amp;DenoBice=&amp;from=OVCBusqueda&amp;pest=rc&amp;RCCompleta=3654218UF5435S&amp;final=&amp;del=29&amp;mun=70" TargetMode="External"/><Relationship Id="rId127" Type="http://schemas.openxmlformats.org/officeDocument/2006/relationships/hyperlink" Target="https://www1.sedecatastro.gob.es/CYCBienInmueble/OVCListaBienes.aspx?RC1=1909614&amp;RC2=VF0720N&amp;RC3=&amp;RC4=&amp;esBice=&amp;RCBice1=&amp;RCBice2=&amp;DenoBice=&amp;pest=rc&amp;final=&amp;RCCompleta=1909614VF0720N&amp;from=OVCBusqueda&amp;tipoCarto=nuevo&amp;ZV=NO&amp;ZR=NO&amp;anyoZV=&amp;strFechaVR=&amp;tematicos=&amp;anyotem=&amp;historica=&amp;coordinadas=&amp;antecedentes=" TargetMode="External"/><Relationship Id="rId10" Type="http://schemas.openxmlformats.org/officeDocument/2006/relationships/hyperlink" Target="http://www.trasteroz.com/" TargetMode="External"/><Relationship Id="rId31" Type="http://schemas.openxmlformats.org/officeDocument/2006/relationships/hyperlink" Target="https://urbantrasterosmalaga.es/" TargetMode="External"/><Relationship Id="rId52" Type="http://schemas.openxmlformats.org/officeDocument/2006/relationships/hyperlink" Target="https://www.trasteros10.com/" TargetMode="External"/><Relationship Id="rId73" Type="http://schemas.openxmlformats.org/officeDocument/2006/relationships/hyperlink" Target="https://necesitountrastero.es/alquiler-de-trasteros-en-estepona/" TargetMode="External"/><Relationship Id="rId78" Type="http://schemas.openxmlformats.org/officeDocument/2006/relationships/hyperlink" Target="https://www.storagedepot.es/" TargetMode="External"/><Relationship Id="rId94" Type="http://schemas.openxmlformats.org/officeDocument/2006/relationships/hyperlink" Target="https://www1.sedecatastro.gob.es/Cartografia/mapa.aspx?pest=urbana&amp;from=OVCBusqueda&amp;ZV=NO&amp;ZR=NO&amp;anyoZV=&amp;tematicos=&amp;anyotem=&amp;historica=&amp;coordinadas=&amp;antecedentes=&amp;RCCompleta=&amp;via=ALFREDO%20CORROCHANO&amp;tipoVia=CL&amp;numero=&amp;kilometro=&amp;bloque=&amp;escalera=&amp;planta=&amp;puerta=&amp;DescProv=MALAGA&amp;prov=29&amp;muni=900&amp;DescMuni=MALAGA&amp;TipUR=U&amp;codvia=4695&amp;comVia=ALFREDO%20CORROCHANO%20(CALLE)&amp;tc=U&amp;del=29&amp;mun=900" TargetMode="External"/><Relationship Id="rId99" Type="http://schemas.openxmlformats.org/officeDocument/2006/relationships/hyperlink" Target="https://www1.sedecatastro.gob.es/CYCBienInmueble/OVCConCiud.aspx?del=29&amp;mun=51&amp;UrbRus=U&amp;RefC=5840205UF0354S0001AH&amp;Apenom=&amp;esBice=&amp;RCBice1=&amp;RCBice2=&amp;DenoBice=&amp;from=nuevoVisor&amp;ZV=NO&amp;anyoZV=" TargetMode="External"/><Relationship Id="rId101" Type="http://schemas.openxmlformats.org/officeDocument/2006/relationships/hyperlink" Target="https://www1.sedecatastro.gob.es/Cartografia/mapa.aspx?del=29&amp;mun=900&amp;refcat=0634112UF7603S&amp;Xcentro=370610.667201569&amp;Ycentro=4063284.06911697&amp;from=OVCBusqueda&amp;final=&amp;pest=coordenadas&amp;latitud=36.7064281&amp;longitud=-4.4486089&amp;gradoslat=&amp;minlat=&amp;seglat=&amp;gradoslon=&amp;minlon=&amp;seglon=&amp;x=&amp;y=&amp;huso=0&amp;tipoCoordenadas=2&amp;ZV=NO&amp;ZR=NO&amp;anyoZV=&amp;tematicos=&amp;anyotem=&amp;historica=&amp;coordinadas=&amp;antecedentes=" TargetMode="External"/><Relationship Id="rId122" Type="http://schemas.openxmlformats.org/officeDocument/2006/relationships/hyperlink" Target="https://www1.sedecatastro.gob.es/CYCBienInmueble/OVCConCiud.aspx?UrbRus=U&amp;RefC=0864328UF7606S0001OF&amp;esBice=&amp;RCBice1=&amp;RCBice2=&amp;DenoBice=&amp;from=OVCBusqueda&amp;pest=rc&amp;RCCompleta=0864328UF7606S&amp;final=&amp;del=29&amp;mun=900" TargetMode="External"/><Relationship Id="rId143" Type="http://schemas.openxmlformats.org/officeDocument/2006/relationships/hyperlink" Target="https://www1.sedecatastro.gob.es/CYCBienInmueble/OVCListaBienes.aspx?RC1=2096202&amp;RC2=UF2329N&amp;RC3=&amp;RC4=&amp;esBice=&amp;RCBice1=&amp;RCBice2=&amp;DenoBice=&amp;pest=rc&amp;final=&amp;RCCompleta=2096202UF2329N&amp;from=OVCBusqueda&amp;tipoCarto=nuevo&amp;ZV=NO&amp;ZR=NO&amp;anyoZV=&amp;strFechaVR=&amp;tematicos=&amp;anyotem=&amp;historica=&amp;coordinadas=&amp;antecedentes=" TargetMode="External"/><Relationship Id="rId148" Type="http://schemas.openxmlformats.org/officeDocument/2006/relationships/hyperlink" Target="https://www1.sedecatastro.gob.es/CYCBienInmueble/OVCConCiud.aspx?del=29&amp;mun=70&amp;UrbRus=U&amp;RefC=2356111UF5425N0001IO&amp;Apenom=&amp;esBice=&amp;RCBice1=&amp;RCBice2=&amp;DenoBice=&amp;from=nuevoVisor&amp;ZV=NO&amp;anyoZV=" TargetMode="External"/><Relationship Id="rId164" Type="http://schemas.openxmlformats.org/officeDocument/2006/relationships/hyperlink" Target="https://www1.sedecatastro.gob.es/CYCBienInmueble/OVCConCiud.aspx?del=29&amp;mun=75&amp;UrbRus=U&amp;RefC=0983237VF2608S0001QQ&amp;Apenom=&amp;esBice=&amp;RCBice1=&amp;RCBice2=&amp;DenoBice=&amp;from=nuevoVisor&amp;ZV=NO&amp;anyoZV=" TargetMode="External"/><Relationship Id="rId169" Type="http://schemas.openxmlformats.org/officeDocument/2006/relationships/hyperlink" Target="https://www1.sedecatastro.gob.es/CYCBienInmueble/OVCConCiud.aspx?del=29&amp;mun=25&amp;UrbRus=U&amp;RefC=3223303UF6532S0001PP&amp;Apenom=&amp;esBice=&amp;RCBice1=&amp;RCBice2=&amp;DenoBice=&amp;from=nuevoVisor&amp;ZV=NO&amp;anyoZV=" TargetMode="External"/><Relationship Id="rId4" Type="http://schemas.openxmlformats.org/officeDocument/2006/relationships/hyperlink" Target="https://www.eco-storage.es/" TargetMode="External"/><Relationship Id="rId9" Type="http://schemas.openxmlformats.org/officeDocument/2006/relationships/hyperlink" Target="http://www.selfstoragecarihuela.com/" TargetMode="External"/><Relationship Id="rId26" Type="http://schemas.openxmlformats.org/officeDocument/2006/relationships/hyperlink" Target="https://www.trasterosplus.es/alquiler-trasteros/los-guindos/" TargetMode="External"/><Relationship Id="rId47" Type="http://schemas.openxmlformats.org/officeDocument/2006/relationships/hyperlink" Target="https://www.trasterosplus.es/coin/" TargetMode="External"/><Relationship Id="rId68" Type="http://schemas.openxmlformats.org/officeDocument/2006/relationships/hyperlink" Target="https://marbellastorage.com/" TargetMode="External"/><Relationship Id="rId89" Type="http://schemas.openxmlformats.org/officeDocument/2006/relationships/hyperlink" Target="https://www1.sedecatastro.gob.es/CYCBienInmueble/OVCListaBienes.aspx?via=SAN@MILLAN&amp;tipoVia=CL&amp;numero=5&amp;kilometro=&amp;bloque=&amp;escalera=&amp;planta=&amp;puerta=&amp;DescProv=MALAGA&amp;prov=29&amp;muni=900&amp;DescMuni=MALAGA&amp;TipUR=U&amp;codvia=1188&amp;comVia=SAN%20MILLAN%20(CALLE)&amp;pest=urbana&amp;from=OVCBusqueda&amp;nomusu=%20&amp;tipousu=&amp;ZV=NO&amp;ZR=NO&amp;anyoZV=&amp;tematicos=&amp;anyotem=&amp;historica=&amp;coordinadas=&amp;antecedentes=" TargetMode="External"/><Relationship Id="rId112" Type="http://schemas.openxmlformats.org/officeDocument/2006/relationships/hyperlink" Target="https://www1.sedecatastro.gob.es/CYCBienInmueble/OVCConCiud.aspx?UrbRus=U&amp;RefC=8419107UF6681N0001DP&amp;esBice=&amp;RCBice1=&amp;RCBice2=&amp;DenoBice=&amp;from=OVCBusqueda&amp;pest=rc&amp;RCCompleta=8419107UF6681N&amp;final=&amp;del=29&amp;mun=900" TargetMode="External"/><Relationship Id="rId133" Type="http://schemas.openxmlformats.org/officeDocument/2006/relationships/hyperlink" Target="https://www1.sedecatastro.gob.es/CYCBienInmueble/OVCConCiud.aspx?UrbRus=U&amp;RefC=1998117UF6519N0001DZ&amp;esBice=&amp;RCBice1=&amp;RCBice2=&amp;DenoBice=&amp;from=OVCBusqueda&amp;pest=rc&amp;RCCompleta=1998117UF6519N&amp;final=&amp;del=29&amp;mun=7" TargetMode="External"/><Relationship Id="rId154" Type="http://schemas.openxmlformats.org/officeDocument/2006/relationships/hyperlink" Target="https://www1.sedecatastro.gob.es/CYCBienInmueble/OVCConCiud.aspx?del=29&amp;mun=82&amp;UrbRus=U&amp;RefC=5343401UF8654S0036KG&amp;Apenom=&amp;esBice=&amp;RCBice1=&amp;RCBice2=&amp;DenoBice=&amp;from=nuevoVisor&amp;ZV=NO&amp;anyoZV=" TargetMode="External"/><Relationship Id="rId175" Type="http://schemas.openxmlformats.org/officeDocument/2006/relationships/hyperlink" Target="https://www1.sedecatastro.gob.es/CYCBienInmueble/OVCListaBienes.aspx?RC1=9966501&amp;RC2=TF9296N&amp;RC3=&amp;RC4=&amp;esBice=&amp;RCBice1=&amp;RCBice2=&amp;DenoBice=&amp;pest=rc&amp;final=&amp;RCCompleta=9966501TF9296N&amp;from=OVCBusqueda&amp;tipoCarto=nuevo&amp;ZV=NO&amp;ZR=NO&amp;anyoZV=&amp;strFechaVR=&amp;tematicos=&amp;anyotem=&amp;historica=&amp;coordinadas=&amp;antecedentes=" TargetMode="External"/><Relationship Id="rId16" Type="http://schemas.openxmlformats.org/officeDocument/2006/relationships/hyperlink" Target="https://www.trasterosbenalmadena.es/" TargetMode="External"/><Relationship Id="rId37" Type="http://schemas.openxmlformats.org/officeDocument/2006/relationships/hyperlink" Target="https://www.islatrans.es/mudanzas-en-malaga/" TargetMode="External"/><Relationship Id="rId58" Type="http://schemas.openxmlformats.org/officeDocument/2006/relationships/hyperlink" Target="http://www.keepy.es/" TargetMode="External"/><Relationship Id="rId79" Type="http://schemas.openxmlformats.org/officeDocument/2006/relationships/hyperlink" Target="http://www.ustore-it.es/" TargetMode="External"/><Relationship Id="rId102" Type="http://schemas.openxmlformats.org/officeDocument/2006/relationships/hyperlink" Target="https://www1.sedecatastro.gob.es/CYCBienInmueble/OVCListaBienes.aspx?RC1=1757114&amp;RC2=UF7615N&amp;RC3=&amp;RC4=&amp;esBice=&amp;RCBice1=&amp;RCBice2=&amp;DenoBice=&amp;pest=rc&amp;final=&amp;RCCompleta=1757114UF7615N&amp;from=OVCBusqueda&amp;tipoCarto=nuevo&amp;ZV=NO&amp;ZR=NO&amp;anyoZV=&amp;strFechaVR=&amp;tematicos=&amp;anyotem=&amp;historica=&amp;coordinadas=&amp;antecedentes=" TargetMode="External"/><Relationship Id="rId123" Type="http://schemas.openxmlformats.org/officeDocument/2006/relationships/hyperlink" Target="https://www1.sedecatastro.gob.es/CYCBienInmueble/OVCConCiud.aspx?UrbRus=R&amp;RefC=0567959UF6606N0001JJ&amp;esBice=&amp;RCBice1=&amp;RCBice2=&amp;DenoBice=&amp;from=OVCBusqueda&amp;pest=rc&amp;RCCompleta=0567959UF6606N&amp;final=&amp;del=29&amp;mun=900" TargetMode="External"/><Relationship Id="rId144" Type="http://schemas.openxmlformats.org/officeDocument/2006/relationships/hyperlink" Target="https://www1.sedecatastro.gob.es/CYCBienInmueble/OVCListaBienes.aspx?RC1=2102303&amp;RC2=UF2420S&amp;RC3=&amp;RC4=&amp;esBice=&amp;RCBice1=&amp;RCBice2=&amp;DenoBice=&amp;pest=rc&amp;final=&amp;RCCompleta=2102303UF2420S&amp;from=OVCBusqueda&amp;tipoCarto=nuevo&amp;ZV=NO&amp;ZR=NO&amp;anyoZV=&amp;strFechaVR=&amp;tematicos=&amp;anyotem=&amp;historica=&amp;coordinadas=&amp;antecedentes=" TargetMode="External"/><Relationship Id="rId90" Type="http://schemas.openxmlformats.org/officeDocument/2006/relationships/hyperlink" Target="https://www1.sedecatastro.gob.es/CYCBienInmueble/OVCConCiud.aspx?UrbRus=U&amp;RefC=0520224UF7602S0001JG&amp;RCCompleta=&amp;via=GUINDOS@LOS&amp;tipoVia=AV&amp;numero=17&amp;kilometro=&amp;bloque=&amp;escalera=&amp;planta=&amp;puerta=&amp;DescProv=MALAGA&amp;prov=29&amp;muni=900&amp;DescMuni=MALAGA&amp;TipUR=U&amp;codvia=4590&amp;comVia=GUINDOS%20LOS%20(AVENIDA,%20AVINGUDA)&amp;pest=urbana&amp;from=OVCBusqueda&amp;del=29&amp;mun=900" TargetMode="External"/><Relationship Id="rId165" Type="http://schemas.openxmlformats.org/officeDocument/2006/relationships/hyperlink" Target="https://www1.sedecatastro.gob.es/CYCBienInmueble/OVCConCiud.aspx?del=29&amp;mun=75&amp;UrbRus=U&amp;RefC=1283114VF2618S0001TT&amp;Apenom=&amp;esBice=&amp;RCBice1=&amp;RCBice2=&amp;DenoBice=&amp;from=nuevoVisor&amp;ZV=NO&amp;anyoZV=" TargetMode="External"/><Relationship Id="rId27" Type="http://schemas.openxmlformats.org/officeDocument/2006/relationships/hyperlink" Target="https://www.trasterosplus.es/alquiler-trasteros/los-vegas/" TargetMode="External"/><Relationship Id="rId48" Type="http://schemas.openxmlformats.org/officeDocument/2006/relationships/hyperlink" Target="https://trasterosvictoria.wixsite.com/trasterosvictoria" TargetMode="External"/><Relationship Id="rId69" Type="http://schemas.openxmlformats.org/officeDocument/2006/relationships/hyperlink" Target="http://www.imushu.es/" TargetMode="External"/><Relationship Id="rId113" Type="http://schemas.openxmlformats.org/officeDocument/2006/relationships/hyperlink" Target="https://www1.sedecatastro.gob.es/CYCBienInmueble/OVCConCiud.aspx?UrbRus=U&amp;RefC=8697129UF6589N0001BE&amp;esBice=&amp;RCBice1=&amp;RCBice2=&amp;DenoBice=&amp;from=OVCBusqueda&amp;pest=rc&amp;RCCompleta=8697129UF6589N&amp;final=&amp;del=29&amp;mun=900" TargetMode="External"/><Relationship Id="rId134" Type="http://schemas.openxmlformats.org/officeDocument/2006/relationships/hyperlink" Target="https://www1.sedecatastro.gob.es/CYCBienInmueble/OVCConCiud.aspx?UrbRus=U&amp;RefC=4597211UF4549N0001YO&amp;esBice=&amp;RCBice1=&amp;RCBice2=&amp;DenoBice=&amp;from=OVCBusqueda&amp;pest=rc&amp;RCCompleta=4597211UF4549N&amp;final=&amp;del=29&amp;mun=42" TargetMode="External"/><Relationship Id="rId80" Type="http://schemas.openxmlformats.org/officeDocument/2006/relationships/hyperlink" Target="https://www.costadelstorage.com/" TargetMode="External"/><Relationship Id="rId155" Type="http://schemas.openxmlformats.org/officeDocument/2006/relationships/hyperlink" Target="https://www1.sedecatastro.gob.es/CYCBienInmueble/OVCConCiud.aspx?del=29&amp;mun=82&amp;UrbRus=U&amp;RefC=6849901UF8664N0001GI&amp;Apenom=&amp;esBice=&amp;RCBice1=&amp;RCBice2=&amp;DenoBice=&amp;from=nuevoVisor&amp;ZV=NO&amp;anyoZV=" TargetMode="External"/><Relationship Id="rId176" Type="http://schemas.openxmlformats.org/officeDocument/2006/relationships/hyperlink" Target="https://www1.sedecatastro.gob.es/CYCBienInmueble/OVCListaBienes.aspx?RC1=0270101&amp;RC2=UF0207S&amp;RC3=&amp;RC4=&amp;esBice=&amp;RCBice1=&amp;RCBice2=&amp;DenoBice=&amp;pest=rc&amp;final=&amp;RCCompleta=0270101UF0207S&amp;from=OVCBusqueda&amp;tipoCarto=nuevo&amp;ZV=NO&amp;ZR=NO&amp;anyoZV=&amp;strFechaVR=&amp;tematicos=&amp;anyotem=&amp;historica=&amp;coordinadas=&amp;antecedentes=" TargetMode="External"/><Relationship Id="rId17" Type="http://schemas.openxmlformats.org/officeDocument/2006/relationships/hyperlink" Target="https://www.trasterosplus.es/alquiler-trasteros/juan-xxiii/" TargetMode="External"/><Relationship Id="rId38" Type="http://schemas.openxmlformats.org/officeDocument/2006/relationships/hyperlink" Target="https://mudanzasreva.com/" TargetMode="External"/><Relationship Id="rId59" Type="http://schemas.openxmlformats.org/officeDocument/2006/relationships/hyperlink" Target="https://www.secureselfstorage.es/" TargetMode="External"/><Relationship Id="rId103" Type="http://schemas.openxmlformats.org/officeDocument/2006/relationships/hyperlink" Target="https://www1.sedecatastro.gob.es/CYCBienInmueble/OVCConCiud.aspx?UrbRus=U&amp;RefC=9208116UF6690N0001PB&amp;esBice=&amp;RCBice1=&amp;RCBice2=&amp;DenoBice=&amp;from=OVCBusqueda&amp;pest=rc&amp;RCCompleta=9208116UF6690N&amp;final=&amp;del=29&amp;mun=900" TargetMode="External"/><Relationship Id="rId124" Type="http://schemas.openxmlformats.org/officeDocument/2006/relationships/hyperlink" Target="https://www1.sedecatastro.gob.es/CYCBienInmueble/OVCListaBienes.aspx?RC1=9149902&amp;RC2=UF7694N&amp;RC3=&amp;RC4=&amp;esBice=&amp;RCBice1=&amp;RCBice2=&amp;DenoBice=&amp;pest=rc&amp;final=&amp;RCCompleta=9149902UF7694N&amp;from=OVCBusqueda&amp;tipoCarto=nuevo&amp;ZV=NO&amp;ZR=NO&amp;anyoZV=&amp;strFechaVR=&amp;tematicos=&amp;anyotem=&amp;historica=&amp;coordinadas=&amp;antecedentes=" TargetMode="External"/><Relationship Id="rId70" Type="http://schemas.openxmlformats.org/officeDocument/2006/relationships/hyperlink" Target="https://www.keepy.es/alquiler-de-trasteros-estepona.php" TargetMode="External"/><Relationship Id="rId91" Type="http://schemas.openxmlformats.org/officeDocument/2006/relationships/hyperlink" Target="https://www1.sedecatastro.gob.es/CYCBienInmueble/OVCListaBienes.aspx?via=RIO@GARGALIGA&amp;tipoVia=CL&amp;numero=2&amp;kilometro=&amp;bloque=&amp;escalera=&amp;planta=&amp;puerta=&amp;DescProv=MALAGA&amp;prov=29&amp;muni=900&amp;DescMuni=MALAGA&amp;TipUR=U&amp;codvia=3673&amp;comVia=RIO%20GARGALIGA%20(CALLE)&amp;pest=urbana&amp;from=OVCBusqueda&amp;nomusu=%20&amp;tipousu=&amp;ZV=NO&amp;ZR=NO&amp;anyoZV=&amp;tematicos=&amp;anyotem=&amp;historica=&amp;coordinadas=&amp;antecedentes=" TargetMode="External"/><Relationship Id="rId145" Type="http://schemas.openxmlformats.org/officeDocument/2006/relationships/hyperlink" Target="https://www1.sedecatastro.gob.es/CYCBienInmueble/OVCConCiud.aspx?UrbRus=U&amp;RefC=9277401UF1397N0001HK&amp;esBice=&amp;RCBice1=&amp;RCBice2=&amp;DenoBice=&amp;from=OVCBusqueda&amp;pest=rc&amp;RCCompleta=9277401UF1397N&amp;final=&amp;del=29&amp;mun=51" TargetMode="External"/><Relationship Id="rId166" Type="http://schemas.openxmlformats.org/officeDocument/2006/relationships/hyperlink" Target="https://www1.sedecatastro.gob.es/CYCBienInmueble/OVCConCiud.aspx?del=29&amp;mun=8&amp;UrbRus=U&amp;RefC=8962105UF4586S0002RY&amp;Apenom=&amp;esBice=&amp;RCBice1=&amp;RCBice2=&amp;DenoBice=&amp;from=nuevoVisor&amp;ZV=NO&amp;anyoZV=" TargetMode="External"/><Relationship Id="rId1" Type="http://schemas.openxmlformats.org/officeDocument/2006/relationships/hyperlink" Target="https://www.trasterosplus.es/alquiler-trasteros/mijas-fuengirola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ullstorage.es/" TargetMode="External"/><Relationship Id="rId3" Type="http://schemas.openxmlformats.org/officeDocument/2006/relationships/hyperlink" Target="https://www.islatrans.com/" TargetMode="External"/><Relationship Id="rId7" Type="http://schemas.openxmlformats.org/officeDocument/2006/relationships/hyperlink" Target="https://www.ustore-it.com/" TargetMode="External"/><Relationship Id="rId2" Type="http://schemas.openxmlformats.org/officeDocument/2006/relationships/hyperlink" Target="https://www.keepy.es/" TargetMode="External"/><Relationship Id="rId1" Type="http://schemas.openxmlformats.org/officeDocument/2006/relationships/hyperlink" Target="https://www.trasterosplus.es/" TargetMode="External"/><Relationship Id="rId6" Type="http://schemas.openxmlformats.org/officeDocument/2006/relationships/hyperlink" Target="https://reva.es/" TargetMode="External"/><Relationship Id="rId5" Type="http://schemas.openxmlformats.org/officeDocument/2006/relationships/hyperlink" Target="https://www.easybox.es/" TargetMode="External"/><Relationship Id="rId4" Type="http://schemas.openxmlformats.org/officeDocument/2006/relationships/hyperlink" Target="https://trasteroz.com/" TargetMode="External"/><Relationship Id="rId9" Type="http://schemas.openxmlformats.org/officeDocument/2006/relationships/hyperlink" Target="https://www.sedecatastro.gob.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47"/>
  <sheetViews>
    <sheetView topLeftCell="A2" workbookViewId="0">
      <selection activeCell="B10" sqref="B10"/>
    </sheetView>
  </sheetViews>
  <sheetFormatPr defaultRowHeight="14.4" x14ac:dyDescent="0.3"/>
  <cols>
    <col min="1" max="1" width="4" customWidth="1"/>
    <col min="2" max="2" width="110" customWidth="1"/>
  </cols>
  <sheetData>
    <row r="1" spans="2:2" ht="28.05" customHeight="1" x14ac:dyDescent="0.4">
      <c r="B1" s="1" t="s">
        <v>0</v>
      </c>
    </row>
    <row r="2" spans="2:2" x14ac:dyDescent="0.3">
      <c r="B2" s="2" t="s">
        <v>1</v>
      </c>
    </row>
    <row r="4" spans="2:2" ht="22.05" customHeight="1" x14ac:dyDescent="0.3">
      <c r="B4" s="3" t="s">
        <v>2</v>
      </c>
    </row>
    <row r="5" spans="2:2" ht="48" customHeight="1" x14ac:dyDescent="0.3">
      <c r="B5" s="4" t="s">
        <v>3</v>
      </c>
    </row>
    <row r="7" spans="2:2" x14ac:dyDescent="0.3">
      <c r="B7" s="5" t="s">
        <v>4</v>
      </c>
    </row>
    <row r="8" spans="2:2" ht="48" customHeight="1" x14ac:dyDescent="0.3">
      <c r="B8" s="4" t="s">
        <v>5</v>
      </c>
    </row>
    <row r="9" spans="2:2" x14ac:dyDescent="0.3">
      <c r="B9" s="5" t="s">
        <v>6</v>
      </c>
    </row>
    <row r="10" spans="2:2" ht="48" customHeight="1" x14ac:dyDescent="0.3">
      <c r="B10" s="4" t="s">
        <v>7</v>
      </c>
    </row>
    <row r="11" spans="2:2" x14ac:dyDescent="0.3">
      <c r="B11" s="5" t="s">
        <v>8</v>
      </c>
    </row>
    <row r="12" spans="2:2" ht="48" customHeight="1" x14ac:dyDescent="0.3">
      <c r="B12" s="4" t="s">
        <v>9</v>
      </c>
    </row>
    <row r="13" spans="2:2" x14ac:dyDescent="0.3">
      <c r="B13" s="5" t="s">
        <v>10</v>
      </c>
    </row>
    <row r="14" spans="2:2" ht="31.95" customHeight="1" x14ac:dyDescent="0.3">
      <c r="B14" s="4" t="s">
        <v>11</v>
      </c>
    </row>
    <row r="15" spans="2:2" x14ac:dyDescent="0.3">
      <c r="B15" s="5" t="s">
        <v>12</v>
      </c>
    </row>
    <row r="16" spans="2:2" ht="48" customHeight="1" x14ac:dyDescent="0.3">
      <c r="B16" s="4" t="s">
        <v>13</v>
      </c>
    </row>
    <row r="18" spans="2:2" ht="22.05" customHeight="1" x14ac:dyDescent="0.3">
      <c r="B18" s="3" t="s">
        <v>14</v>
      </c>
    </row>
    <row r="19" spans="2:2" ht="48" customHeight="1" x14ac:dyDescent="0.3">
      <c r="B19" s="4" t="s">
        <v>15</v>
      </c>
    </row>
    <row r="20" spans="2:2" ht="48" customHeight="1" x14ac:dyDescent="0.3">
      <c r="B20" s="4" t="s">
        <v>16</v>
      </c>
    </row>
    <row r="22" spans="2:2" ht="22.05" customHeight="1" x14ac:dyDescent="0.3">
      <c r="B22" s="3" t="s">
        <v>17</v>
      </c>
    </row>
    <row r="23" spans="2:2" x14ac:dyDescent="0.3">
      <c r="B23" s="5" t="s">
        <v>18</v>
      </c>
    </row>
    <row r="24" spans="2:2" ht="48" customHeight="1" x14ac:dyDescent="0.3">
      <c r="B24" s="4" t="s">
        <v>19</v>
      </c>
    </row>
    <row r="25" spans="2:2" ht="48" customHeight="1" x14ac:dyDescent="0.3">
      <c r="B25" s="4" t="s">
        <v>20</v>
      </c>
    </row>
    <row r="26" spans="2:2" x14ac:dyDescent="0.3">
      <c r="B26" s="5" t="s">
        <v>21</v>
      </c>
    </row>
    <row r="27" spans="2:2" ht="64.05" customHeight="1" x14ac:dyDescent="0.3">
      <c r="B27" s="4" t="s">
        <v>22</v>
      </c>
    </row>
    <row r="28" spans="2:2" ht="48" customHeight="1" x14ac:dyDescent="0.3">
      <c r="B28" s="4" t="s">
        <v>23</v>
      </c>
    </row>
    <row r="29" spans="2:2" x14ac:dyDescent="0.3">
      <c r="B29" s="5" t="s">
        <v>24</v>
      </c>
    </row>
    <row r="30" spans="2:2" ht="64.05" customHeight="1" x14ac:dyDescent="0.3">
      <c r="B30" s="4" t="s">
        <v>25</v>
      </c>
    </row>
    <row r="31" spans="2:2" x14ac:dyDescent="0.3">
      <c r="B31" s="5" t="s">
        <v>26</v>
      </c>
    </row>
    <row r="32" spans="2:2" ht="64.05" customHeight="1" x14ac:dyDescent="0.3">
      <c r="B32" s="4" t="s">
        <v>27</v>
      </c>
    </row>
    <row r="34" spans="2:2" ht="22.05" customHeight="1" x14ac:dyDescent="0.3">
      <c r="B34" s="3" t="s">
        <v>28</v>
      </c>
    </row>
    <row r="35" spans="2:2" ht="64.05" customHeight="1" x14ac:dyDescent="0.3">
      <c r="B35" s="4" t="s">
        <v>29</v>
      </c>
    </row>
    <row r="36" spans="2:2" ht="48" customHeight="1" x14ac:dyDescent="0.3">
      <c r="B36" s="4" t="s">
        <v>30</v>
      </c>
    </row>
    <row r="38" spans="2:2" ht="22.05" customHeight="1" x14ac:dyDescent="0.3">
      <c r="B38" s="3" t="s">
        <v>31</v>
      </c>
    </row>
    <row r="39" spans="2:2" ht="18" customHeight="1" x14ac:dyDescent="0.3">
      <c r="B39" s="4" t="s">
        <v>32</v>
      </c>
    </row>
    <row r="40" spans="2:2" ht="18" customHeight="1" x14ac:dyDescent="0.3">
      <c r="B40" s="4" t="s">
        <v>33</v>
      </c>
    </row>
    <row r="41" spans="2:2" ht="18" customHeight="1" x14ac:dyDescent="0.3">
      <c r="B41" s="4" t="s">
        <v>34</v>
      </c>
    </row>
    <row r="42" spans="2:2" ht="18" customHeight="1" x14ac:dyDescent="0.3">
      <c r="B42" s="4" t="s">
        <v>35</v>
      </c>
    </row>
    <row r="43" spans="2:2" ht="18" customHeight="1" x14ac:dyDescent="0.3">
      <c r="B43" s="4" t="s">
        <v>36</v>
      </c>
    </row>
    <row r="44" spans="2:2" ht="18" customHeight="1" x14ac:dyDescent="0.3">
      <c r="B44" s="4" t="s">
        <v>37</v>
      </c>
    </row>
    <row r="46" spans="2:2" ht="22.05" customHeight="1" x14ac:dyDescent="0.3">
      <c r="B46" s="3" t="s">
        <v>38</v>
      </c>
    </row>
    <row r="47" spans="2:2" ht="31.95" customHeight="1" x14ac:dyDescent="0.3">
      <c r="B47" s="4" t="s">
        <v>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0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F3" sqref="F3"/>
    </sheetView>
  </sheetViews>
  <sheetFormatPr defaultRowHeight="14.4" x14ac:dyDescent="0.3"/>
  <cols>
    <col min="1" max="1" width="10" customWidth="1"/>
    <col min="2" max="2" width="36" customWidth="1"/>
    <col min="3" max="3" width="18" customWidth="1"/>
    <col min="4" max="4" width="20" customWidth="1"/>
    <col min="5" max="5" width="10" customWidth="1"/>
    <col min="6" max="6" width="40" customWidth="1"/>
    <col min="7" max="8" width="11" customWidth="1"/>
    <col min="9" max="9" width="28" customWidth="1"/>
    <col min="10" max="10" width="16" customWidth="1"/>
    <col min="11" max="11" width="40" customWidth="1"/>
    <col min="12" max="12" width="7" customWidth="1"/>
    <col min="13" max="13" width="10" customWidth="1"/>
    <col min="14" max="14" width="11" customWidth="1"/>
    <col min="15" max="15" width="13" customWidth="1"/>
    <col min="16" max="16" width="12" customWidth="1"/>
    <col min="17" max="17" width="40" customWidth="1"/>
    <col min="18" max="18" width="60" customWidth="1"/>
  </cols>
  <sheetData>
    <row r="1" spans="1:18" ht="31.95" customHeight="1" x14ac:dyDescent="0.3">
      <c r="A1" s="6" t="s">
        <v>40</v>
      </c>
      <c r="B1" s="6" t="s">
        <v>41</v>
      </c>
      <c r="C1" s="6" t="s">
        <v>42</v>
      </c>
      <c r="D1" s="6" t="s">
        <v>43</v>
      </c>
      <c r="E1" s="6" t="s">
        <v>44</v>
      </c>
      <c r="F1" s="6" t="s">
        <v>45</v>
      </c>
      <c r="G1" s="6" t="s">
        <v>46</v>
      </c>
      <c r="H1" s="6" t="s">
        <v>47</v>
      </c>
      <c r="I1" s="6" t="s">
        <v>48</v>
      </c>
      <c r="J1" s="6" t="s">
        <v>49</v>
      </c>
      <c r="K1" s="6" t="s">
        <v>50</v>
      </c>
      <c r="L1" s="6" t="s">
        <v>51</v>
      </c>
      <c r="M1" s="6" t="s">
        <v>52</v>
      </c>
      <c r="N1" s="6" t="s">
        <v>53</v>
      </c>
      <c r="O1" s="6" t="s">
        <v>54</v>
      </c>
      <c r="P1" s="6" t="s">
        <v>55</v>
      </c>
      <c r="Q1" s="6" t="s">
        <v>56</v>
      </c>
      <c r="R1" s="6" t="s">
        <v>57</v>
      </c>
    </row>
    <row r="2" spans="1:18" ht="26.4" x14ac:dyDescent="0.3">
      <c r="A2" s="7" t="s">
        <v>58</v>
      </c>
      <c r="B2" s="8" t="s">
        <v>59</v>
      </c>
      <c r="C2" s="7" t="s">
        <v>60</v>
      </c>
      <c r="D2" s="7" t="s">
        <v>61</v>
      </c>
      <c r="E2" s="7" t="s">
        <v>62</v>
      </c>
      <c r="F2" s="8" t="s">
        <v>63</v>
      </c>
      <c r="G2" s="9">
        <v>36.540007799999998</v>
      </c>
      <c r="H2" s="9">
        <v>-4.6325044000000002</v>
      </c>
      <c r="I2" s="7" t="s">
        <v>64</v>
      </c>
      <c r="J2" s="7" t="s">
        <v>65</v>
      </c>
      <c r="K2" s="10" t="s">
        <v>66</v>
      </c>
      <c r="L2" s="11">
        <v>4.8</v>
      </c>
      <c r="M2" s="7">
        <v>1123</v>
      </c>
      <c r="N2" s="12"/>
      <c r="O2" s="12">
        <v>1239</v>
      </c>
      <c r="P2" s="13" t="s">
        <v>681</v>
      </c>
      <c r="Q2" s="24" t="s">
        <v>684</v>
      </c>
      <c r="R2" s="14"/>
    </row>
    <row r="3" spans="1:18" ht="26.4" x14ac:dyDescent="0.3">
      <c r="A3" s="7" t="s">
        <v>67</v>
      </c>
      <c r="B3" s="8" t="s">
        <v>68</v>
      </c>
      <c r="C3" s="7" t="s">
        <v>60</v>
      </c>
      <c r="D3" s="7" t="s">
        <v>61</v>
      </c>
      <c r="E3" s="7" t="s">
        <v>62</v>
      </c>
      <c r="F3" s="8" t="s">
        <v>682</v>
      </c>
      <c r="G3" s="9">
        <v>36.540292200000003</v>
      </c>
      <c r="H3" s="9">
        <v>-4.6318997</v>
      </c>
      <c r="I3" s="7" t="s">
        <v>70</v>
      </c>
      <c r="J3" s="7" t="s">
        <v>65</v>
      </c>
      <c r="K3" s="10" t="s">
        <v>66</v>
      </c>
      <c r="L3" s="11">
        <v>4.9000000000000004</v>
      </c>
      <c r="M3" s="7">
        <v>63</v>
      </c>
      <c r="N3" s="12"/>
      <c r="O3" s="12">
        <v>104</v>
      </c>
      <c r="P3" s="13" t="s">
        <v>681</v>
      </c>
      <c r="Q3" s="24" t="s">
        <v>683</v>
      </c>
      <c r="R3" s="14"/>
    </row>
    <row r="4" spans="1:18" x14ac:dyDescent="0.3">
      <c r="A4" s="7" t="s">
        <v>71</v>
      </c>
      <c r="B4" s="8" t="s">
        <v>72</v>
      </c>
      <c r="C4" s="7" t="s">
        <v>73</v>
      </c>
      <c r="D4" s="7" t="s">
        <v>61</v>
      </c>
      <c r="E4" s="7" t="s">
        <v>62</v>
      </c>
      <c r="F4" s="8" t="s">
        <v>69</v>
      </c>
      <c r="G4" s="9">
        <v>36.540789199999999</v>
      </c>
      <c r="H4" s="9">
        <v>-4.6355496</v>
      </c>
      <c r="I4" s="7" t="s">
        <v>74</v>
      </c>
      <c r="J4" s="7" t="s">
        <v>75</v>
      </c>
      <c r="K4" s="10" t="s">
        <v>76</v>
      </c>
      <c r="L4" s="11">
        <v>4.7</v>
      </c>
      <c r="M4" s="7">
        <v>43</v>
      </c>
      <c r="N4" s="12"/>
      <c r="O4" s="12">
        <v>476</v>
      </c>
      <c r="P4" s="13" t="s">
        <v>681</v>
      </c>
      <c r="Q4" s="24" t="s">
        <v>726</v>
      </c>
      <c r="R4" s="14"/>
    </row>
    <row r="5" spans="1:18" x14ac:dyDescent="0.3">
      <c r="A5" s="7" t="s">
        <v>77</v>
      </c>
      <c r="B5" s="8" t="s">
        <v>78</v>
      </c>
      <c r="C5" s="7" t="s">
        <v>79</v>
      </c>
      <c r="D5" s="7" t="s">
        <v>61</v>
      </c>
      <c r="E5" s="7" t="s">
        <v>62</v>
      </c>
      <c r="F5" s="8" t="s">
        <v>61</v>
      </c>
      <c r="G5" s="9">
        <v>36.5495266</v>
      </c>
      <c r="H5" s="9">
        <v>-4.6330787999999998</v>
      </c>
      <c r="I5" s="7" t="s">
        <v>80</v>
      </c>
      <c r="J5" s="7" t="s">
        <v>81</v>
      </c>
      <c r="K5" s="7"/>
      <c r="L5" s="11">
        <v>4.9000000000000004</v>
      </c>
      <c r="M5" s="7">
        <v>26</v>
      </c>
      <c r="N5" s="12"/>
      <c r="O5" s="12">
        <v>660</v>
      </c>
      <c r="P5" s="13" t="s">
        <v>695</v>
      </c>
      <c r="Q5" s="24" t="s">
        <v>806</v>
      </c>
      <c r="R5" s="14" t="s">
        <v>807</v>
      </c>
    </row>
    <row r="6" spans="1:18" x14ac:dyDescent="0.3">
      <c r="A6" s="7" t="s">
        <v>82</v>
      </c>
      <c r="B6" s="8" t="s">
        <v>83</v>
      </c>
      <c r="C6" s="7" t="s">
        <v>79</v>
      </c>
      <c r="D6" s="7" t="s">
        <v>61</v>
      </c>
      <c r="E6" s="7" t="s">
        <v>62</v>
      </c>
      <c r="F6" s="8" t="s">
        <v>84</v>
      </c>
      <c r="G6" s="9">
        <v>36.559372099999997</v>
      </c>
      <c r="H6" s="9">
        <v>-4.6706713999999998</v>
      </c>
      <c r="I6" s="7" t="s">
        <v>85</v>
      </c>
      <c r="J6" s="7" t="s">
        <v>86</v>
      </c>
      <c r="K6" s="10" t="s">
        <v>87</v>
      </c>
      <c r="L6" s="11">
        <v>5</v>
      </c>
      <c r="M6" s="7">
        <v>31</v>
      </c>
      <c r="N6" s="12"/>
      <c r="O6" s="12">
        <v>0</v>
      </c>
      <c r="P6" s="13" t="s">
        <v>695</v>
      </c>
      <c r="Q6" s="24" t="s">
        <v>808</v>
      </c>
      <c r="R6" s="14" t="s">
        <v>809</v>
      </c>
    </row>
    <row r="7" spans="1:18" x14ac:dyDescent="0.3">
      <c r="A7" s="7" t="s">
        <v>88</v>
      </c>
      <c r="B7" s="8" t="s">
        <v>89</v>
      </c>
      <c r="C7" s="7" t="s">
        <v>79</v>
      </c>
      <c r="D7" s="7" t="s">
        <v>61</v>
      </c>
      <c r="E7" s="7" t="s">
        <v>62</v>
      </c>
      <c r="F7" s="8" t="s">
        <v>61</v>
      </c>
      <c r="G7" s="9">
        <v>36.5439194</v>
      </c>
      <c r="H7" s="9">
        <v>-4.6510290000000003</v>
      </c>
      <c r="I7" s="7" t="s">
        <v>90</v>
      </c>
      <c r="J7" s="7" t="s">
        <v>91</v>
      </c>
      <c r="K7" s="10" t="s">
        <v>92</v>
      </c>
      <c r="L7" s="11">
        <v>5</v>
      </c>
      <c r="M7" s="7">
        <v>13</v>
      </c>
      <c r="N7" s="12"/>
      <c r="O7" s="12">
        <v>608</v>
      </c>
      <c r="P7" s="13" t="s">
        <v>681</v>
      </c>
      <c r="Q7" s="24" t="s">
        <v>810</v>
      </c>
      <c r="R7" s="14" t="s">
        <v>811</v>
      </c>
    </row>
    <row r="8" spans="1:18" x14ac:dyDescent="0.3">
      <c r="A8" s="7" t="s">
        <v>93</v>
      </c>
      <c r="B8" s="8" t="s">
        <v>94</v>
      </c>
      <c r="C8" s="7" t="s">
        <v>79</v>
      </c>
      <c r="D8" s="7" t="s">
        <v>95</v>
      </c>
      <c r="E8" s="7" t="s">
        <v>96</v>
      </c>
      <c r="F8" s="8" t="s">
        <v>97</v>
      </c>
      <c r="G8" s="9">
        <v>36.549622999999997</v>
      </c>
      <c r="H8" s="9">
        <v>-4.6189903000000001</v>
      </c>
      <c r="I8" s="7" t="s">
        <v>98</v>
      </c>
      <c r="J8" s="7" t="s">
        <v>99</v>
      </c>
      <c r="K8" s="7"/>
      <c r="L8" s="11"/>
      <c r="M8" s="7"/>
      <c r="N8" s="12"/>
      <c r="O8" s="12">
        <v>0</v>
      </c>
      <c r="P8" s="13" t="s">
        <v>695</v>
      </c>
      <c r="Q8" s="13"/>
      <c r="R8" s="14" t="s">
        <v>789</v>
      </c>
    </row>
    <row r="9" spans="1:18" ht="26.4" x14ac:dyDescent="0.3">
      <c r="A9" s="7" t="s">
        <v>100</v>
      </c>
      <c r="B9" s="8" t="s">
        <v>101</v>
      </c>
      <c r="C9" s="7" t="s">
        <v>79</v>
      </c>
      <c r="D9" s="7" t="s">
        <v>102</v>
      </c>
      <c r="E9" s="7" t="s">
        <v>103</v>
      </c>
      <c r="F9" s="8" t="s">
        <v>104</v>
      </c>
      <c r="G9" s="9">
        <v>36.605899899999997</v>
      </c>
      <c r="H9" s="9">
        <v>-4.5313819999999998</v>
      </c>
      <c r="I9" s="7" t="s">
        <v>105</v>
      </c>
      <c r="J9" s="7" t="s">
        <v>106</v>
      </c>
      <c r="K9" s="10" t="s">
        <v>107</v>
      </c>
      <c r="L9" s="11">
        <v>4.7</v>
      </c>
      <c r="M9" s="7">
        <v>101</v>
      </c>
      <c r="N9" s="12"/>
      <c r="O9" s="12">
        <v>1515</v>
      </c>
      <c r="P9" s="13" t="s">
        <v>681</v>
      </c>
      <c r="Q9" s="24" t="s">
        <v>844</v>
      </c>
      <c r="R9" s="14"/>
    </row>
    <row r="10" spans="1:18" x14ac:dyDescent="0.3">
      <c r="A10" s="7" t="s">
        <v>108</v>
      </c>
      <c r="B10" s="8" t="s">
        <v>109</v>
      </c>
      <c r="C10" s="7" t="s">
        <v>110</v>
      </c>
      <c r="D10" s="7" t="s">
        <v>111</v>
      </c>
      <c r="E10" s="7" t="s">
        <v>112</v>
      </c>
      <c r="F10" s="8" t="s">
        <v>113</v>
      </c>
      <c r="G10" s="9">
        <v>36.606515700000003</v>
      </c>
      <c r="H10" s="9">
        <v>-4.5096170999999998</v>
      </c>
      <c r="I10" s="7" t="s">
        <v>114</v>
      </c>
      <c r="J10" s="7" t="s">
        <v>115</v>
      </c>
      <c r="K10" s="10" t="s">
        <v>116</v>
      </c>
      <c r="L10" s="11">
        <v>5</v>
      </c>
      <c r="M10" s="7">
        <v>845</v>
      </c>
      <c r="N10" s="12"/>
      <c r="O10" s="12">
        <v>1470</v>
      </c>
      <c r="P10" s="13" t="s">
        <v>695</v>
      </c>
      <c r="Q10" s="24" t="s">
        <v>709</v>
      </c>
      <c r="R10" s="14" t="s">
        <v>710</v>
      </c>
    </row>
    <row r="11" spans="1:18" ht="26.4" x14ac:dyDescent="0.3">
      <c r="A11" s="7" t="s">
        <v>117</v>
      </c>
      <c r="B11" s="8" t="s">
        <v>118</v>
      </c>
      <c r="C11" s="7" t="s">
        <v>60</v>
      </c>
      <c r="D11" s="7" t="s">
        <v>111</v>
      </c>
      <c r="E11" s="7" t="s">
        <v>112</v>
      </c>
      <c r="F11" s="8" t="s">
        <v>119</v>
      </c>
      <c r="G11" s="9">
        <v>36.611496699999996</v>
      </c>
      <c r="H11" s="9">
        <v>-4.5139646999999998</v>
      </c>
      <c r="I11" s="7" t="s">
        <v>120</v>
      </c>
      <c r="J11" s="7" t="s">
        <v>121</v>
      </c>
      <c r="K11" s="10" t="s">
        <v>122</v>
      </c>
      <c r="L11" s="11">
        <v>5</v>
      </c>
      <c r="M11" s="7">
        <v>91</v>
      </c>
      <c r="N11" s="12"/>
      <c r="O11" s="12">
        <v>5697</v>
      </c>
      <c r="P11" s="13" t="s">
        <v>681</v>
      </c>
      <c r="Q11" s="24" t="s">
        <v>685</v>
      </c>
      <c r="R11" s="14"/>
    </row>
    <row r="12" spans="1:18" x14ac:dyDescent="0.3">
      <c r="A12" s="7" t="s">
        <v>123</v>
      </c>
      <c r="B12" s="8" t="s">
        <v>124</v>
      </c>
      <c r="C12" s="7" t="s">
        <v>79</v>
      </c>
      <c r="D12" s="7" t="s">
        <v>111</v>
      </c>
      <c r="E12" s="7" t="s">
        <v>112</v>
      </c>
      <c r="F12" s="8" t="s">
        <v>125</v>
      </c>
      <c r="G12" s="9">
        <v>36.613710500000003</v>
      </c>
      <c r="H12" s="9">
        <v>-4.5032679</v>
      </c>
      <c r="I12" s="7" t="s">
        <v>126</v>
      </c>
      <c r="J12" s="7" t="s">
        <v>127</v>
      </c>
      <c r="K12" s="10" t="s">
        <v>128</v>
      </c>
      <c r="L12" s="11">
        <v>3.3</v>
      </c>
      <c r="M12" s="7">
        <v>4</v>
      </c>
      <c r="N12" s="12">
        <v>270</v>
      </c>
      <c r="O12" s="12"/>
      <c r="P12" s="13" t="s">
        <v>686</v>
      </c>
      <c r="Q12" s="24" t="s">
        <v>812</v>
      </c>
      <c r="R12" s="14" t="s">
        <v>813</v>
      </c>
    </row>
    <row r="13" spans="1:18" ht="26.4" x14ac:dyDescent="0.3">
      <c r="A13" s="7" t="s">
        <v>129</v>
      </c>
      <c r="B13" s="8" t="s">
        <v>130</v>
      </c>
      <c r="C13" s="7" t="s">
        <v>131</v>
      </c>
      <c r="D13" s="7" t="s">
        <v>111</v>
      </c>
      <c r="E13" s="7" t="s">
        <v>112</v>
      </c>
      <c r="F13" s="8" t="s">
        <v>132</v>
      </c>
      <c r="G13" s="9">
        <v>36.600560000000002</v>
      </c>
      <c r="H13" s="9">
        <v>-4.5120794000000002</v>
      </c>
      <c r="I13" s="7" t="s">
        <v>133</v>
      </c>
      <c r="J13" s="7" t="s">
        <v>134</v>
      </c>
      <c r="K13" s="10" t="s">
        <v>135</v>
      </c>
      <c r="L13" s="11">
        <v>5</v>
      </c>
      <c r="M13" s="7">
        <v>17</v>
      </c>
      <c r="N13" s="12">
        <v>100</v>
      </c>
      <c r="O13" s="12"/>
      <c r="P13" s="13" t="s">
        <v>686</v>
      </c>
      <c r="Q13" s="24" t="s">
        <v>815</v>
      </c>
      <c r="R13" s="14" t="s">
        <v>814</v>
      </c>
    </row>
    <row r="14" spans="1:18" ht="26.4" x14ac:dyDescent="0.3">
      <c r="A14" s="7" t="s">
        <v>136</v>
      </c>
      <c r="B14" s="8" t="s">
        <v>137</v>
      </c>
      <c r="C14" s="7" t="s">
        <v>131</v>
      </c>
      <c r="D14" s="7" t="s">
        <v>111</v>
      </c>
      <c r="E14" s="7" t="s">
        <v>112</v>
      </c>
      <c r="F14" s="8" t="s">
        <v>138</v>
      </c>
      <c r="G14" s="9">
        <v>36.605678699999999</v>
      </c>
      <c r="H14" s="9">
        <v>-4.5104996999999996</v>
      </c>
      <c r="I14" s="7" t="s">
        <v>139</v>
      </c>
      <c r="J14" s="7" t="s">
        <v>134</v>
      </c>
      <c r="K14" s="10" t="s">
        <v>140</v>
      </c>
      <c r="L14" s="11">
        <v>4.7</v>
      </c>
      <c r="M14" s="7">
        <v>25</v>
      </c>
      <c r="N14" s="12">
        <v>240</v>
      </c>
      <c r="O14" s="12"/>
      <c r="P14" s="13" t="s">
        <v>686</v>
      </c>
      <c r="Q14" s="24" t="s">
        <v>815</v>
      </c>
      <c r="R14" s="14" t="s">
        <v>816</v>
      </c>
    </row>
    <row r="15" spans="1:18" ht="26.4" x14ac:dyDescent="0.3">
      <c r="A15" s="7" t="s">
        <v>141</v>
      </c>
      <c r="B15" s="8" t="s">
        <v>142</v>
      </c>
      <c r="C15" s="7" t="s">
        <v>131</v>
      </c>
      <c r="D15" s="7" t="s">
        <v>111</v>
      </c>
      <c r="E15" s="7" t="s">
        <v>112</v>
      </c>
      <c r="F15" s="8" t="s">
        <v>143</v>
      </c>
      <c r="G15" s="9">
        <v>36.606450500000001</v>
      </c>
      <c r="H15" s="9">
        <v>-4.5098447999999998</v>
      </c>
      <c r="I15" s="7" t="s">
        <v>144</v>
      </c>
      <c r="J15" s="7" t="s">
        <v>134</v>
      </c>
      <c r="K15" s="10" t="s">
        <v>145</v>
      </c>
      <c r="L15" s="11">
        <v>5</v>
      </c>
      <c r="M15" s="7">
        <v>1</v>
      </c>
      <c r="N15" s="12">
        <v>60</v>
      </c>
      <c r="O15" s="12"/>
      <c r="P15" s="13" t="s">
        <v>686</v>
      </c>
      <c r="Q15" s="24" t="s">
        <v>815</v>
      </c>
      <c r="R15" s="14" t="s">
        <v>817</v>
      </c>
    </row>
    <row r="16" spans="1:18" ht="26.4" x14ac:dyDescent="0.3">
      <c r="A16" s="7" t="s">
        <v>146</v>
      </c>
      <c r="B16" s="8" t="s">
        <v>147</v>
      </c>
      <c r="C16" s="7" t="s">
        <v>148</v>
      </c>
      <c r="D16" s="7" t="s">
        <v>111</v>
      </c>
      <c r="E16" s="7" t="s">
        <v>112</v>
      </c>
      <c r="F16" s="8" t="s">
        <v>149</v>
      </c>
      <c r="G16" s="9">
        <v>36.625131400000001</v>
      </c>
      <c r="H16" s="9">
        <v>-4.4976222000000003</v>
      </c>
      <c r="I16" s="7" t="s">
        <v>150</v>
      </c>
      <c r="J16" s="7" t="s">
        <v>151</v>
      </c>
      <c r="K16" s="10" t="s">
        <v>152</v>
      </c>
      <c r="L16" s="11"/>
      <c r="M16" s="7"/>
      <c r="N16" s="12">
        <v>1125</v>
      </c>
      <c r="O16" s="12"/>
      <c r="P16" s="13" t="s">
        <v>681</v>
      </c>
      <c r="Q16" s="24" t="s">
        <v>152</v>
      </c>
      <c r="R16" s="14" t="s">
        <v>818</v>
      </c>
    </row>
    <row r="17" spans="1:18" x14ac:dyDescent="0.3">
      <c r="A17" s="7" t="s">
        <v>153</v>
      </c>
      <c r="B17" s="8" t="s">
        <v>154</v>
      </c>
      <c r="C17" s="7" t="s">
        <v>148</v>
      </c>
      <c r="D17" s="7" t="s">
        <v>102</v>
      </c>
      <c r="E17" s="7" t="s">
        <v>155</v>
      </c>
      <c r="F17" s="8" t="s">
        <v>156</v>
      </c>
      <c r="G17" s="9">
        <v>36.595222800000002</v>
      </c>
      <c r="H17" s="9">
        <v>-4.5260347999999997</v>
      </c>
      <c r="I17" s="7" t="s">
        <v>157</v>
      </c>
      <c r="J17" s="7" t="s">
        <v>151</v>
      </c>
      <c r="K17" s="10" t="s">
        <v>158</v>
      </c>
      <c r="L17" s="11">
        <v>5</v>
      </c>
      <c r="M17" s="7">
        <v>428</v>
      </c>
      <c r="N17" s="12"/>
      <c r="O17" s="12">
        <v>2555</v>
      </c>
      <c r="P17" s="13" t="s">
        <v>681</v>
      </c>
      <c r="Q17" s="24" t="s">
        <v>703</v>
      </c>
      <c r="R17" s="14"/>
    </row>
    <row r="18" spans="1:18" ht="26.4" x14ac:dyDescent="0.3">
      <c r="A18" s="7" t="s">
        <v>159</v>
      </c>
      <c r="B18" s="8" t="s">
        <v>160</v>
      </c>
      <c r="C18" s="7" t="s">
        <v>148</v>
      </c>
      <c r="D18" s="7" t="s">
        <v>102</v>
      </c>
      <c r="E18" s="7" t="s">
        <v>103</v>
      </c>
      <c r="F18" s="8" t="s">
        <v>161</v>
      </c>
      <c r="G18" s="9">
        <v>36.586809500000001</v>
      </c>
      <c r="H18" s="9">
        <v>-4.5912483999999996</v>
      </c>
      <c r="I18" s="7" t="s">
        <v>162</v>
      </c>
      <c r="J18" s="7" t="s">
        <v>151</v>
      </c>
      <c r="K18" s="10" t="s">
        <v>163</v>
      </c>
      <c r="L18" s="11">
        <v>4.7</v>
      </c>
      <c r="M18" s="7">
        <v>20</v>
      </c>
      <c r="N18" s="12"/>
      <c r="O18" s="12">
        <v>1250</v>
      </c>
      <c r="P18" s="13" t="s">
        <v>695</v>
      </c>
      <c r="Q18" s="24" t="s">
        <v>704</v>
      </c>
      <c r="R18" s="14" t="s">
        <v>705</v>
      </c>
    </row>
    <row r="19" spans="1:18" x14ac:dyDescent="0.3">
      <c r="A19" s="7" t="s">
        <v>164</v>
      </c>
      <c r="B19" s="8" t="s">
        <v>165</v>
      </c>
      <c r="C19" s="7" t="s">
        <v>79</v>
      </c>
      <c r="D19" s="7" t="s">
        <v>102</v>
      </c>
      <c r="E19" s="7" t="s">
        <v>103</v>
      </c>
      <c r="F19" s="8" t="s">
        <v>166</v>
      </c>
      <c r="G19" s="9">
        <v>36.604649199999997</v>
      </c>
      <c r="H19" s="9">
        <v>-4.5352572999999996</v>
      </c>
      <c r="I19" s="7" t="s">
        <v>167</v>
      </c>
      <c r="J19" s="7" t="s">
        <v>99</v>
      </c>
      <c r="K19" s="10" t="s">
        <v>168</v>
      </c>
      <c r="L19" s="11">
        <v>5</v>
      </c>
      <c r="M19" s="7">
        <v>42</v>
      </c>
      <c r="N19" s="12"/>
      <c r="O19" s="12">
        <v>529</v>
      </c>
      <c r="P19" s="13" t="s">
        <v>681</v>
      </c>
      <c r="Q19" s="24" t="s">
        <v>876</v>
      </c>
      <c r="R19" s="26" t="s">
        <v>877</v>
      </c>
    </row>
    <row r="20" spans="1:18" ht="26.4" x14ac:dyDescent="0.3">
      <c r="A20" s="7" t="s">
        <v>169</v>
      </c>
      <c r="B20" s="8" t="s">
        <v>170</v>
      </c>
      <c r="C20" s="7" t="s">
        <v>60</v>
      </c>
      <c r="D20" s="7" t="s">
        <v>171</v>
      </c>
      <c r="E20" s="7" t="s">
        <v>172</v>
      </c>
      <c r="F20" s="8" t="s">
        <v>173</v>
      </c>
      <c r="G20" s="9">
        <v>36.708101999999997</v>
      </c>
      <c r="H20" s="9">
        <v>-4.4440289999999996</v>
      </c>
      <c r="I20" s="7" t="s">
        <v>174</v>
      </c>
      <c r="J20" s="7" t="s">
        <v>175</v>
      </c>
      <c r="K20" s="10" t="s">
        <v>176</v>
      </c>
      <c r="L20" s="11">
        <v>4.8</v>
      </c>
      <c r="M20" s="7">
        <v>2147</v>
      </c>
      <c r="N20" s="12">
        <v>3000</v>
      </c>
      <c r="O20" s="12"/>
      <c r="P20" s="13" t="s">
        <v>686</v>
      </c>
      <c r="Q20" s="13" t="s">
        <v>687</v>
      </c>
      <c r="R20" s="14"/>
    </row>
    <row r="21" spans="1:18" ht="26.4" x14ac:dyDescent="0.3">
      <c r="A21" s="7" t="s">
        <v>177</v>
      </c>
      <c r="B21" s="8" t="s">
        <v>178</v>
      </c>
      <c r="C21" s="7" t="s">
        <v>73</v>
      </c>
      <c r="D21" s="7" t="s">
        <v>171</v>
      </c>
      <c r="E21" s="7" t="s">
        <v>172</v>
      </c>
      <c r="F21" s="8" t="s">
        <v>179</v>
      </c>
      <c r="G21" s="9">
        <v>36.706749799999997</v>
      </c>
      <c r="H21" s="9">
        <v>-4.4739941999999999</v>
      </c>
      <c r="I21" s="7" t="s">
        <v>180</v>
      </c>
      <c r="J21" s="7" t="s">
        <v>181</v>
      </c>
      <c r="K21" s="10" t="s">
        <v>182</v>
      </c>
      <c r="L21" s="11">
        <v>4.8</v>
      </c>
      <c r="M21" s="7">
        <v>147</v>
      </c>
      <c r="N21" s="12"/>
      <c r="O21" s="12">
        <v>1832</v>
      </c>
      <c r="P21" s="13" t="s">
        <v>681</v>
      </c>
      <c r="Q21" s="24" t="s">
        <v>727</v>
      </c>
      <c r="R21" s="14"/>
    </row>
    <row r="22" spans="1:18" ht="26.4" x14ac:dyDescent="0.3">
      <c r="A22" s="7" t="s">
        <v>183</v>
      </c>
      <c r="B22" s="8" t="s">
        <v>184</v>
      </c>
      <c r="C22" s="7" t="s">
        <v>73</v>
      </c>
      <c r="D22" s="7" t="s">
        <v>171</v>
      </c>
      <c r="E22" s="7" t="s">
        <v>185</v>
      </c>
      <c r="F22" s="8" t="s">
        <v>186</v>
      </c>
      <c r="G22" s="9">
        <v>36.742997099999997</v>
      </c>
      <c r="H22" s="9">
        <v>-4.4216420999999997</v>
      </c>
      <c r="I22" s="7" t="s">
        <v>187</v>
      </c>
      <c r="J22" s="7" t="s">
        <v>188</v>
      </c>
      <c r="K22" s="10" t="s">
        <v>189</v>
      </c>
      <c r="L22" s="11">
        <v>4.5999999999999996</v>
      </c>
      <c r="M22" s="7">
        <v>42</v>
      </c>
      <c r="N22" s="12"/>
      <c r="O22" s="12">
        <v>1142</v>
      </c>
      <c r="P22" s="13" t="s">
        <v>681</v>
      </c>
      <c r="Q22" s="24" t="s">
        <v>728</v>
      </c>
      <c r="R22" s="14"/>
    </row>
    <row r="23" spans="1:18" ht="26.4" x14ac:dyDescent="0.3">
      <c r="A23" s="7" t="s">
        <v>190</v>
      </c>
      <c r="B23" s="8" t="s">
        <v>191</v>
      </c>
      <c r="C23" s="7" t="s">
        <v>73</v>
      </c>
      <c r="D23" s="7" t="s">
        <v>171</v>
      </c>
      <c r="E23" s="7" t="s">
        <v>192</v>
      </c>
      <c r="F23" s="8" t="s">
        <v>193</v>
      </c>
      <c r="G23" s="9">
        <v>36.706161299999998</v>
      </c>
      <c r="H23" s="9">
        <v>-4.5091751999999996</v>
      </c>
      <c r="I23" s="7" t="s">
        <v>194</v>
      </c>
      <c r="J23" s="7" t="s">
        <v>195</v>
      </c>
      <c r="K23" s="10" t="s">
        <v>196</v>
      </c>
      <c r="L23" s="11">
        <v>5</v>
      </c>
      <c r="M23" s="7">
        <v>14</v>
      </c>
      <c r="N23" s="12"/>
      <c r="O23" s="12">
        <v>975</v>
      </c>
      <c r="P23" s="13" t="s">
        <v>681</v>
      </c>
      <c r="Q23" s="24" t="s">
        <v>729</v>
      </c>
      <c r="R23" s="14"/>
    </row>
    <row r="24" spans="1:18" ht="26.4" x14ac:dyDescent="0.3">
      <c r="A24" s="7" t="s">
        <v>197</v>
      </c>
      <c r="B24" s="8" t="s">
        <v>198</v>
      </c>
      <c r="C24" s="7" t="s">
        <v>79</v>
      </c>
      <c r="D24" s="7" t="s">
        <v>171</v>
      </c>
      <c r="E24" s="7" t="s">
        <v>192</v>
      </c>
      <c r="F24" s="8" t="s">
        <v>199</v>
      </c>
      <c r="G24" s="9">
        <v>36.692036799999997</v>
      </c>
      <c r="H24" s="9">
        <v>-4.4739003000000004</v>
      </c>
      <c r="I24" s="7" t="s">
        <v>200</v>
      </c>
      <c r="J24" s="7" t="s">
        <v>201</v>
      </c>
      <c r="K24" s="10" t="s">
        <v>202</v>
      </c>
      <c r="L24" s="11">
        <v>4.3</v>
      </c>
      <c r="M24" s="7">
        <v>146</v>
      </c>
      <c r="N24" s="12"/>
      <c r="O24" s="12">
        <v>954</v>
      </c>
      <c r="P24" s="13" t="s">
        <v>681</v>
      </c>
      <c r="Q24" s="24" t="s">
        <v>735</v>
      </c>
      <c r="R24" s="14" t="s">
        <v>734</v>
      </c>
    </row>
    <row r="25" spans="1:18" ht="26.4" x14ac:dyDescent="0.3">
      <c r="A25" s="7" t="s">
        <v>203</v>
      </c>
      <c r="B25" s="8" t="s">
        <v>204</v>
      </c>
      <c r="C25" s="7" t="s">
        <v>79</v>
      </c>
      <c r="D25" s="7" t="s">
        <v>171</v>
      </c>
      <c r="E25" s="7" t="s">
        <v>192</v>
      </c>
      <c r="F25" s="8" t="s">
        <v>205</v>
      </c>
      <c r="G25" s="9">
        <v>36.671192499999997</v>
      </c>
      <c r="H25" s="9">
        <v>-4.4710105000000002</v>
      </c>
      <c r="I25" s="7" t="s">
        <v>206</v>
      </c>
      <c r="J25" s="7" t="s">
        <v>207</v>
      </c>
      <c r="K25" s="10" t="s">
        <v>208</v>
      </c>
      <c r="L25" s="11">
        <v>5</v>
      </c>
      <c r="M25" s="7">
        <v>6</v>
      </c>
      <c r="N25" s="12"/>
      <c r="O25" s="12">
        <f>473*0.666666666666667</f>
        <v>315.33333333333331</v>
      </c>
      <c r="P25" s="13" t="s">
        <v>695</v>
      </c>
      <c r="Q25" s="24" t="s">
        <v>737</v>
      </c>
      <c r="R25" s="14" t="s">
        <v>736</v>
      </c>
    </row>
    <row r="26" spans="1:18" x14ac:dyDescent="0.3">
      <c r="A26" s="7" t="s">
        <v>209</v>
      </c>
      <c r="B26" s="8" t="s">
        <v>210</v>
      </c>
      <c r="C26" s="7" t="s">
        <v>110</v>
      </c>
      <c r="D26" s="7" t="s">
        <v>171</v>
      </c>
      <c r="E26" s="7" t="s">
        <v>172</v>
      </c>
      <c r="F26" s="8" t="s">
        <v>711</v>
      </c>
      <c r="G26" s="9">
        <v>36.706428099999997</v>
      </c>
      <c r="H26" s="9">
        <v>-4.4486089</v>
      </c>
      <c r="I26" s="7" t="s">
        <v>211</v>
      </c>
      <c r="J26" s="7" t="s">
        <v>212</v>
      </c>
      <c r="K26" s="10" t="s">
        <v>213</v>
      </c>
      <c r="L26" s="11">
        <v>4.9000000000000004</v>
      </c>
      <c r="M26" s="7">
        <v>1449</v>
      </c>
      <c r="N26" s="12"/>
      <c r="O26" s="12">
        <f>513+475+744+746</f>
        <v>2478</v>
      </c>
      <c r="P26" s="13" t="s">
        <v>681</v>
      </c>
      <c r="Q26" s="24" t="s">
        <v>712</v>
      </c>
      <c r="R26" s="14" t="s">
        <v>713</v>
      </c>
    </row>
    <row r="27" spans="1:18" ht="26.4" x14ac:dyDescent="0.3">
      <c r="A27" s="7" t="s">
        <v>214</v>
      </c>
      <c r="B27" s="8" t="s">
        <v>215</v>
      </c>
      <c r="C27" s="7" t="s">
        <v>60</v>
      </c>
      <c r="D27" s="7" t="s">
        <v>171</v>
      </c>
      <c r="E27" s="7" t="s">
        <v>216</v>
      </c>
      <c r="F27" s="8" t="s">
        <v>217</v>
      </c>
      <c r="G27" s="9">
        <v>36.728236099999997</v>
      </c>
      <c r="H27" s="9">
        <v>-4.4202693999999996</v>
      </c>
      <c r="I27" s="7" t="s">
        <v>218</v>
      </c>
      <c r="J27" s="7" t="s">
        <v>219</v>
      </c>
      <c r="K27" s="10" t="s">
        <v>220</v>
      </c>
      <c r="L27" s="11">
        <v>4.9000000000000004</v>
      </c>
      <c r="M27" s="7">
        <v>2178</v>
      </c>
      <c r="N27" s="12"/>
      <c r="O27" s="12">
        <v>2061</v>
      </c>
      <c r="P27" s="13" t="s">
        <v>681</v>
      </c>
      <c r="Q27" s="24" t="s">
        <v>688</v>
      </c>
      <c r="R27" s="14"/>
    </row>
    <row r="28" spans="1:18" x14ac:dyDescent="0.3">
      <c r="A28" s="7" t="s">
        <v>221</v>
      </c>
      <c r="B28" s="8" t="s">
        <v>222</v>
      </c>
      <c r="C28" s="7" t="s">
        <v>60</v>
      </c>
      <c r="D28" s="7" t="s">
        <v>171</v>
      </c>
      <c r="E28" s="7" t="s">
        <v>216</v>
      </c>
      <c r="F28" s="8" t="s">
        <v>223</v>
      </c>
      <c r="G28" s="9">
        <v>36.727084699999999</v>
      </c>
      <c r="H28" s="9">
        <v>-4.4202725999999997</v>
      </c>
      <c r="I28" s="7" t="s">
        <v>224</v>
      </c>
      <c r="J28" s="7" t="s">
        <v>219</v>
      </c>
      <c r="K28" s="10" t="s">
        <v>220</v>
      </c>
      <c r="L28" s="11">
        <v>4.9000000000000004</v>
      </c>
      <c r="M28" s="7">
        <v>20</v>
      </c>
      <c r="N28" s="12"/>
      <c r="O28" s="12">
        <v>1400</v>
      </c>
      <c r="P28" s="13" t="s">
        <v>681</v>
      </c>
      <c r="Q28" s="24" t="s">
        <v>689</v>
      </c>
      <c r="R28" s="14"/>
    </row>
    <row r="29" spans="1:18" ht="26.4" x14ac:dyDescent="0.3">
      <c r="A29" s="7" t="s">
        <v>225</v>
      </c>
      <c r="B29" s="8" t="s">
        <v>226</v>
      </c>
      <c r="C29" s="7" t="s">
        <v>60</v>
      </c>
      <c r="D29" s="7" t="s">
        <v>171</v>
      </c>
      <c r="E29" s="7" t="s">
        <v>192</v>
      </c>
      <c r="F29" s="8" t="s">
        <v>227</v>
      </c>
      <c r="G29" s="9">
        <v>36.692360000000001</v>
      </c>
      <c r="H29" s="9">
        <v>-4.4512660000000004</v>
      </c>
      <c r="I29" s="7" t="s">
        <v>228</v>
      </c>
      <c r="J29" s="7" t="s">
        <v>229</v>
      </c>
      <c r="K29" s="10" t="s">
        <v>230</v>
      </c>
      <c r="L29" s="11">
        <v>4.9000000000000004</v>
      </c>
      <c r="M29" s="7">
        <v>2071</v>
      </c>
      <c r="N29" s="12"/>
      <c r="O29" s="12">
        <v>1052</v>
      </c>
      <c r="P29" s="13" t="s">
        <v>681</v>
      </c>
      <c r="Q29" s="24" t="s">
        <v>690</v>
      </c>
      <c r="R29" s="14" t="s">
        <v>691</v>
      </c>
    </row>
    <row r="30" spans="1:18" x14ac:dyDescent="0.3">
      <c r="A30" s="7" t="s">
        <v>231</v>
      </c>
      <c r="B30" s="8" t="s">
        <v>232</v>
      </c>
      <c r="C30" s="7" t="s">
        <v>79</v>
      </c>
      <c r="D30" s="7" t="s">
        <v>171</v>
      </c>
      <c r="E30" s="7" t="s">
        <v>233</v>
      </c>
      <c r="F30" s="8" t="s">
        <v>171</v>
      </c>
      <c r="G30" s="9">
        <v>36.723405100000001</v>
      </c>
      <c r="H30" s="9">
        <v>-4.4351871000000003</v>
      </c>
      <c r="I30" s="7" t="s">
        <v>234</v>
      </c>
      <c r="J30" s="7" t="s">
        <v>235</v>
      </c>
      <c r="K30" s="7"/>
      <c r="L30" s="11">
        <v>5</v>
      </c>
      <c r="M30" s="7">
        <v>13</v>
      </c>
      <c r="N30" s="12"/>
      <c r="O30" s="12">
        <v>242</v>
      </c>
      <c r="P30" s="13" t="s">
        <v>681</v>
      </c>
      <c r="Q30" s="24" t="s">
        <v>738</v>
      </c>
      <c r="R30" s="14" t="s">
        <v>739</v>
      </c>
    </row>
    <row r="31" spans="1:18" ht="26.4" x14ac:dyDescent="0.3">
      <c r="A31" s="7" t="s">
        <v>236</v>
      </c>
      <c r="B31" s="8" t="s">
        <v>237</v>
      </c>
      <c r="C31" s="7" t="s">
        <v>60</v>
      </c>
      <c r="D31" s="7" t="s">
        <v>171</v>
      </c>
      <c r="E31" s="7" t="s">
        <v>172</v>
      </c>
      <c r="F31" s="8" t="s">
        <v>238</v>
      </c>
      <c r="G31" s="9">
        <v>36.708999800000001</v>
      </c>
      <c r="H31" s="9">
        <v>-4.4769351999999998</v>
      </c>
      <c r="I31" s="7" t="s">
        <v>239</v>
      </c>
      <c r="J31" s="7" t="s">
        <v>240</v>
      </c>
      <c r="K31" s="10" t="s">
        <v>241</v>
      </c>
      <c r="L31" s="11">
        <v>4.3</v>
      </c>
      <c r="M31" s="7">
        <v>93</v>
      </c>
      <c r="N31" s="12">
        <v>1736</v>
      </c>
      <c r="O31" s="12"/>
      <c r="P31" s="13" t="s">
        <v>686</v>
      </c>
      <c r="Q31" s="13" t="s">
        <v>687</v>
      </c>
      <c r="R31" s="14"/>
    </row>
    <row r="32" spans="1:18" ht="26.4" x14ac:dyDescent="0.3">
      <c r="A32" s="7" t="s">
        <v>242</v>
      </c>
      <c r="B32" s="8" t="s">
        <v>243</v>
      </c>
      <c r="C32" s="7" t="s">
        <v>79</v>
      </c>
      <c r="D32" s="7" t="s">
        <v>171</v>
      </c>
      <c r="E32" s="7" t="s">
        <v>244</v>
      </c>
      <c r="F32" s="8" t="s">
        <v>171</v>
      </c>
      <c r="G32" s="9">
        <v>36.712741700000002</v>
      </c>
      <c r="H32" s="9">
        <v>-4.4308712999999997</v>
      </c>
      <c r="I32" s="7" t="s">
        <v>245</v>
      </c>
      <c r="J32" s="7" t="s">
        <v>246</v>
      </c>
      <c r="K32" s="10" t="s">
        <v>247</v>
      </c>
      <c r="L32" s="11">
        <v>5</v>
      </c>
      <c r="M32" s="7">
        <v>4</v>
      </c>
      <c r="N32" s="12"/>
      <c r="O32" s="12">
        <v>407</v>
      </c>
      <c r="P32" s="13" t="s">
        <v>695</v>
      </c>
      <c r="Q32" s="24" t="s">
        <v>740</v>
      </c>
      <c r="R32" s="14" t="s">
        <v>741</v>
      </c>
    </row>
    <row r="33" spans="1:18" ht="26.4" x14ac:dyDescent="0.3">
      <c r="A33" s="7" t="s">
        <v>248</v>
      </c>
      <c r="B33" s="8" t="s">
        <v>249</v>
      </c>
      <c r="C33" s="7" t="s">
        <v>79</v>
      </c>
      <c r="D33" s="7" t="s">
        <v>171</v>
      </c>
      <c r="E33" s="7" t="s">
        <v>233</v>
      </c>
      <c r="F33" s="8" t="s">
        <v>171</v>
      </c>
      <c r="G33" s="9">
        <v>36.7266111</v>
      </c>
      <c r="H33" s="9">
        <v>-4.4441350999999996</v>
      </c>
      <c r="I33" s="7" t="s">
        <v>250</v>
      </c>
      <c r="J33" s="7" t="s">
        <v>251</v>
      </c>
      <c r="K33" s="7"/>
      <c r="L33" s="11">
        <v>5</v>
      </c>
      <c r="M33" s="7">
        <v>2</v>
      </c>
      <c r="N33" s="12"/>
      <c r="O33" s="12">
        <v>486</v>
      </c>
      <c r="P33" s="13" t="s">
        <v>681</v>
      </c>
      <c r="Q33" s="24" t="s">
        <v>755</v>
      </c>
      <c r="R33" s="14" t="s">
        <v>756</v>
      </c>
    </row>
    <row r="34" spans="1:18" x14ac:dyDescent="0.3">
      <c r="A34" s="7"/>
      <c r="B34" s="8" t="s">
        <v>252</v>
      </c>
      <c r="C34" s="7" t="s">
        <v>79</v>
      </c>
      <c r="D34" s="7" t="s">
        <v>171</v>
      </c>
      <c r="E34" s="7" t="s">
        <v>253</v>
      </c>
      <c r="F34" s="8" t="s">
        <v>171</v>
      </c>
      <c r="G34" s="9">
        <v>36.722810600000003</v>
      </c>
      <c r="H34" s="9">
        <v>-4.4352768999999999</v>
      </c>
      <c r="I34" s="7" t="s">
        <v>254</v>
      </c>
      <c r="J34" s="7" t="s">
        <v>255</v>
      </c>
      <c r="K34" s="10" t="s">
        <v>256</v>
      </c>
      <c r="L34" s="11">
        <v>4.8</v>
      </c>
      <c r="M34" s="7">
        <v>43</v>
      </c>
      <c r="N34" s="12"/>
      <c r="O34" s="12">
        <v>176</v>
      </c>
      <c r="P34" s="13" t="s">
        <v>681</v>
      </c>
      <c r="Q34" s="24" t="s">
        <v>757</v>
      </c>
      <c r="R34" s="14" t="s">
        <v>758</v>
      </c>
    </row>
    <row r="35" spans="1:18" x14ac:dyDescent="0.3">
      <c r="A35" s="7" t="s">
        <v>257</v>
      </c>
      <c r="B35" s="8" t="s">
        <v>258</v>
      </c>
      <c r="C35" s="7" t="s">
        <v>79</v>
      </c>
      <c r="D35" s="7" t="s">
        <v>171</v>
      </c>
      <c r="E35" s="7" t="s">
        <v>216</v>
      </c>
      <c r="F35" s="8" t="s">
        <v>171</v>
      </c>
      <c r="G35" s="9">
        <v>36.728972200000001</v>
      </c>
      <c r="H35" s="9">
        <v>-4.4153406999999998</v>
      </c>
      <c r="I35" s="7" t="s">
        <v>259</v>
      </c>
      <c r="J35" s="7" t="s">
        <v>260</v>
      </c>
      <c r="K35" s="10" t="s">
        <v>261</v>
      </c>
      <c r="L35" s="11">
        <v>5</v>
      </c>
      <c r="M35" s="7">
        <v>3</v>
      </c>
      <c r="N35" s="12"/>
      <c r="O35" s="12">
        <v>210</v>
      </c>
      <c r="P35" s="13" t="s">
        <v>681</v>
      </c>
      <c r="Q35" s="24" t="s">
        <v>759</v>
      </c>
      <c r="R35" s="14" t="s">
        <v>761</v>
      </c>
    </row>
    <row r="36" spans="1:18" ht="26.4" x14ac:dyDescent="0.3">
      <c r="A36" s="7" t="s">
        <v>262</v>
      </c>
      <c r="B36" s="8" t="s">
        <v>263</v>
      </c>
      <c r="C36" s="7" t="s">
        <v>79</v>
      </c>
      <c r="D36" s="7" t="s">
        <v>171</v>
      </c>
      <c r="E36" s="7" t="s">
        <v>253</v>
      </c>
      <c r="F36" s="8" t="s">
        <v>264</v>
      </c>
      <c r="G36" s="9">
        <v>36.728589900000003</v>
      </c>
      <c r="H36" s="9">
        <v>-4.4368300999999999</v>
      </c>
      <c r="I36" s="7" t="s">
        <v>265</v>
      </c>
      <c r="J36" s="7" t="s">
        <v>255</v>
      </c>
      <c r="K36" s="10" t="s">
        <v>266</v>
      </c>
      <c r="L36" s="11">
        <v>5</v>
      </c>
      <c r="M36" s="7">
        <v>1</v>
      </c>
      <c r="N36" s="12"/>
      <c r="O36" s="12">
        <v>114</v>
      </c>
      <c r="P36" s="13" t="s">
        <v>681</v>
      </c>
      <c r="Q36" s="24" t="s">
        <v>760</v>
      </c>
      <c r="R36" s="14" t="s">
        <v>761</v>
      </c>
    </row>
    <row r="37" spans="1:18" x14ac:dyDescent="0.3">
      <c r="A37" s="7" t="s">
        <v>267</v>
      </c>
      <c r="B37" s="8" t="s">
        <v>268</v>
      </c>
      <c r="C37" s="7" t="s">
        <v>110</v>
      </c>
      <c r="D37" s="7" t="s">
        <v>171</v>
      </c>
      <c r="E37" s="7" t="s">
        <v>253</v>
      </c>
      <c r="F37" s="8" t="s">
        <v>714</v>
      </c>
      <c r="G37" s="9">
        <v>36.726970299999998</v>
      </c>
      <c r="H37" s="9">
        <v>-4.4381154</v>
      </c>
      <c r="I37" s="7" t="s">
        <v>269</v>
      </c>
      <c r="J37" s="7" t="s">
        <v>270</v>
      </c>
      <c r="K37" s="10" t="s">
        <v>271</v>
      </c>
      <c r="L37" s="11">
        <v>5</v>
      </c>
      <c r="M37" s="7">
        <v>22</v>
      </c>
      <c r="N37" s="12"/>
      <c r="O37" s="12">
        <v>202</v>
      </c>
      <c r="P37" s="13" t="s">
        <v>695</v>
      </c>
      <c r="Q37" s="24" t="s">
        <v>715</v>
      </c>
      <c r="R37" s="14" t="s">
        <v>691</v>
      </c>
    </row>
    <row r="38" spans="1:18" x14ac:dyDescent="0.3">
      <c r="A38" s="7" t="s">
        <v>272</v>
      </c>
      <c r="B38" s="8" t="s">
        <v>273</v>
      </c>
      <c r="C38" s="7" t="s">
        <v>274</v>
      </c>
      <c r="D38" s="7" t="s">
        <v>171</v>
      </c>
      <c r="E38" s="7" t="s">
        <v>172</v>
      </c>
      <c r="F38" s="8" t="s">
        <v>699</v>
      </c>
      <c r="G38" s="9">
        <v>36.711892300000002</v>
      </c>
      <c r="H38" s="9">
        <v>-4.4820035000000003</v>
      </c>
      <c r="I38" s="7" t="s">
        <v>275</v>
      </c>
      <c r="J38" s="7" t="s">
        <v>276</v>
      </c>
      <c r="K38" s="10" t="s">
        <v>277</v>
      </c>
      <c r="L38" s="11">
        <v>4.5999999999999996</v>
      </c>
      <c r="M38" s="7">
        <v>11</v>
      </c>
      <c r="N38" s="12"/>
      <c r="O38" s="12">
        <v>368</v>
      </c>
      <c r="P38" s="13" t="s">
        <v>681</v>
      </c>
      <c r="Q38" s="24" t="s">
        <v>697</v>
      </c>
      <c r="R38" s="14" t="s">
        <v>698</v>
      </c>
    </row>
    <row r="39" spans="1:18" x14ac:dyDescent="0.3">
      <c r="A39" s="7" t="s">
        <v>278</v>
      </c>
      <c r="B39" s="8" t="s">
        <v>279</v>
      </c>
      <c r="C39" s="7" t="s">
        <v>79</v>
      </c>
      <c r="D39" s="7" t="s">
        <v>171</v>
      </c>
      <c r="E39" s="7" t="s">
        <v>233</v>
      </c>
      <c r="F39" s="8" t="s">
        <v>171</v>
      </c>
      <c r="G39" s="9">
        <v>36.714163900000003</v>
      </c>
      <c r="H39" s="9">
        <v>-4.4294834999999999</v>
      </c>
      <c r="I39" s="7" t="s">
        <v>280</v>
      </c>
      <c r="J39" s="7" t="s">
        <v>281</v>
      </c>
      <c r="K39" s="10" t="s">
        <v>282</v>
      </c>
      <c r="L39" s="11">
        <v>4.8</v>
      </c>
      <c r="M39" s="7">
        <v>12</v>
      </c>
      <c r="N39" s="12"/>
      <c r="O39" s="12">
        <v>132</v>
      </c>
      <c r="P39" s="13" t="s">
        <v>681</v>
      </c>
      <c r="Q39" s="24" t="s">
        <v>762</v>
      </c>
      <c r="R39" s="14" t="s">
        <v>758</v>
      </c>
    </row>
    <row r="40" spans="1:18" ht="26.4" x14ac:dyDescent="0.3">
      <c r="A40" s="7" t="s">
        <v>283</v>
      </c>
      <c r="B40" s="8" t="s">
        <v>284</v>
      </c>
      <c r="C40" s="7" t="s">
        <v>285</v>
      </c>
      <c r="D40" s="7" t="s">
        <v>171</v>
      </c>
      <c r="E40" s="7" t="s">
        <v>172</v>
      </c>
      <c r="F40" s="8" t="s">
        <v>286</v>
      </c>
      <c r="G40" s="9">
        <v>36.701915200000002</v>
      </c>
      <c r="H40" s="9">
        <v>-4.4734379999999998</v>
      </c>
      <c r="I40" s="7" t="s">
        <v>287</v>
      </c>
      <c r="J40" s="7" t="s">
        <v>288</v>
      </c>
      <c r="K40" s="10" t="s">
        <v>289</v>
      </c>
      <c r="L40" s="11">
        <v>4.9000000000000004</v>
      </c>
      <c r="M40" s="7">
        <v>62</v>
      </c>
      <c r="N40" s="12"/>
      <c r="O40" s="12">
        <v>391</v>
      </c>
      <c r="P40" s="13" t="s">
        <v>681</v>
      </c>
      <c r="Q40" s="24" t="s">
        <v>763</v>
      </c>
      <c r="R40" s="14" t="s">
        <v>764</v>
      </c>
    </row>
    <row r="41" spans="1:18" ht="26.4" x14ac:dyDescent="0.3">
      <c r="A41" s="7" t="s">
        <v>290</v>
      </c>
      <c r="B41" s="8" t="s">
        <v>291</v>
      </c>
      <c r="C41" s="7" t="s">
        <v>274</v>
      </c>
      <c r="D41" s="7" t="s">
        <v>171</v>
      </c>
      <c r="E41" s="7" t="s">
        <v>172</v>
      </c>
      <c r="F41" s="8" t="s">
        <v>700</v>
      </c>
      <c r="G41" s="9">
        <v>36.713698700000002</v>
      </c>
      <c r="H41" s="9">
        <v>-4.4867001999999996</v>
      </c>
      <c r="I41" s="7" t="s">
        <v>292</v>
      </c>
      <c r="J41" s="7" t="s">
        <v>276</v>
      </c>
      <c r="K41" s="10" t="s">
        <v>277</v>
      </c>
      <c r="L41" s="11">
        <v>4.8</v>
      </c>
      <c r="M41" s="7">
        <v>109</v>
      </c>
      <c r="N41" s="12"/>
      <c r="O41" s="12">
        <v>1134</v>
      </c>
      <c r="P41" s="13" t="s">
        <v>681</v>
      </c>
      <c r="Q41" s="24" t="s">
        <v>701</v>
      </c>
      <c r="R41" s="14" t="s">
        <v>702</v>
      </c>
    </row>
    <row r="42" spans="1:18" x14ac:dyDescent="0.3">
      <c r="A42" s="7" t="s">
        <v>293</v>
      </c>
      <c r="B42" s="8" t="s">
        <v>294</v>
      </c>
      <c r="C42" s="7" t="s">
        <v>110</v>
      </c>
      <c r="D42" s="7" t="s">
        <v>171</v>
      </c>
      <c r="E42" s="7" t="s">
        <v>192</v>
      </c>
      <c r="F42" s="8" t="s">
        <v>716</v>
      </c>
      <c r="G42" s="9">
        <v>36.682696</v>
      </c>
      <c r="H42" s="9">
        <v>-4.4658134</v>
      </c>
      <c r="I42" s="7" t="s">
        <v>295</v>
      </c>
      <c r="J42" s="7" t="s">
        <v>296</v>
      </c>
      <c r="K42" s="10" t="s">
        <v>297</v>
      </c>
      <c r="L42" s="11">
        <v>5</v>
      </c>
      <c r="M42" s="7">
        <v>983</v>
      </c>
      <c r="N42" s="12"/>
      <c r="O42" s="12">
        <v>897</v>
      </c>
      <c r="P42" s="13" t="s">
        <v>681</v>
      </c>
      <c r="Q42" s="24" t="s">
        <v>717</v>
      </c>
      <c r="R42" s="14"/>
    </row>
    <row r="43" spans="1:18" x14ac:dyDescent="0.3">
      <c r="A43" s="7" t="s">
        <v>298</v>
      </c>
      <c r="B43" s="8" t="s">
        <v>299</v>
      </c>
      <c r="C43" s="7" t="s">
        <v>285</v>
      </c>
      <c r="D43" s="7" t="s">
        <v>171</v>
      </c>
      <c r="E43" s="7" t="s">
        <v>253</v>
      </c>
      <c r="F43" s="8" t="s">
        <v>171</v>
      </c>
      <c r="G43" s="9">
        <v>36.7335469</v>
      </c>
      <c r="H43" s="9">
        <v>-4.4481605000000002</v>
      </c>
      <c r="I43" s="7" t="s">
        <v>300</v>
      </c>
      <c r="J43" s="7" t="s">
        <v>288</v>
      </c>
      <c r="K43" s="10" t="s">
        <v>301</v>
      </c>
      <c r="L43" s="11">
        <v>5</v>
      </c>
      <c r="M43" s="7">
        <v>41</v>
      </c>
      <c r="N43" s="12"/>
      <c r="O43" s="12">
        <v>183</v>
      </c>
      <c r="P43" s="13" t="s">
        <v>695</v>
      </c>
      <c r="Q43" s="24" t="s">
        <v>766</v>
      </c>
      <c r="R43" s="14" t="s">
        <v>765</v>
      </c>
    </row>
    <row r="44" spans="1:18" ht="26.4" x14ac:dyDescent="0.3">
      <c r="A44" s="7" t="s">
        <v>302</v>
      </c>
      <c r="B44" s="8" t="s">
        <v>303</v>
      </c>
      <c r="C44" s="7" t="s">
        <v>60</v>
      </c>
      <c r="D44" s="7" t="s">
        <v>171</v>
      </c>
      <c r="E44" s="7" t="s">
        <v>244</v>
      </c>
      <c r="F44" s="8" t="s">
        <v>304</v>
      </c>
      <c r="G44" s="9">
        <v>36.706337300000001</v>
      </c>
      <c r="H44" s="9">
        <v>-4.4383208999999999</v>
      </c>
      <c r="I44" s="7" t="s">
        <v>305</v>
      </c>
      <c r="J44" s="7" t="s">
        <v>306</v>
      </c>
      <c r="K44" s="10" t="s">
        <v>307</v>
      </c>
      <c r="L44" s="11">
        <v>4.8</v>
      </c>
      <c r="M44" s="7">
        <v>105</v>
      </c>
      <c r="N44" s="12"/>
      <c r="O44" s="12">
        <v>1961</v>
      </c>
      <c r="P44" s="13" t="s">
        <v>681</v>
      </c>
      <c r="Q44" s="24" t="s">
        <v>692</v>
      </c>
      <c r="R44" s="14" t="s">
        <v>693</v>
      </c>
    </row>
    <row r="45" spans="1:18" ht="26.4" x14ac:dyDescent="0.3">
      <c r="A45" s="7" t="s">
        <v>308</v>
      </c>
      <c r="B45" s="8" t="s">
        <v>309</v>
      </c>
      <c r="C45" s="7" t="s">
        <v>79</v>
      </c>
      <c r="D45" s="7" t="s">
        <v>171</v>
      </c>
      <c r="E45" s="7" t="s">
        <v>754</v>
      </c>
      <c r="F45" s="8" t="s">
        <v>310</v>
      </c>
      <c r="G45" s="9">
        <v>36.732513300000001</v>
      </c>
      <c r="H45" s="9">
        <v>-4.5610870999999999</v>
      </c>
      <c r="I45" s="7" t="s">
        <v>311</v>
      </c>
      <c r="J45" s="7" t="s">
        <v>312</v>
      </c>
      <c r="K45" s="10" t="s">
        <v>313</v>
      </c>
      <c r="L45" s="11"/>
      <c r="M45" s="7"/>
      <c r="N45" s="12"/>
      <c r="O45" s="12">
        <v>111</v>
      </c>
      <c r="P45" s="13" t="s">
        <v>695</v>
      </c>
      <c r="Q45" s="24" t="s">
        <v>768</v>
      </c>
      <c r="R45" s="14" t="s">
        <v>767</v>
      </c>
    </row>
    <row r="46" spans="1:18" ht="26.4" x14ac:dyDescent="0.3">
      <c r="A46" s="7" t="s">
        <v>314</v>
      </c>
      <c r="B46" s="8" t="s">
        <v>315</v>
      </c>
      <c r="C46" s="7" t="s">
        <v>79</v>
      </c>
      <c r="D46" s="7" t="s">
        <v>171</v>
      </c>
      <c r="E46" s="7" t="s">
        <v>316</v>
      </c>
      <c r="F46" s="8" t="s">
        <v>317</v>
      </c>
      <c r="G46" s="9">
        <v>36.720531399999999</v>
      </c>
      <c r="H46" s="9">
        <v>-4.3543089000000004</v>
      </c>
      <c r="I46" s="7" t="s">
        <v>318</v>
      </c>
      <c r="J46" s="7" t="s">
        <v>319</v>
      </c>
      <c r="K46" s="7"/>
      <c r="L46" s="11">
        <v>5</v>
      </c>
      <c r="M46" s="7">
        <v>1</v>
      </c>
      <c r="N46" s="12"/>
      <c r="O46" s="12">
        <v>205</v>
      </c>
      <c r="P46" s="13" t="s">
        <v>695</v>
      </c>
      <c r="Q46" s="24" t="s">
        <v>769</v>
      </c>
      <c r="R46" s="14" t="s">
        <v>770</v>
      </c>
    </row>
    <row r="47" spans="1:18" ht="26.4" x14ac:dyDescent="0.3">
      <c r="A47" s="7" t="s">
        <v>320</v>
      </c>
      <c r="B47" s="27" t="s">
        <v>720</v>
      </c>
      <c r="C47" s="7" t="s">
        <v>110</v>
      </c>
      <c r="D47" s="7" t="s">
        <v>321</v>
      </c>
      <c r="E47" s="7" t="s">
        <v>322</v>
      </c>
      <c r="F47" s="27" t="s">
        <v>721</v>
      </c>
      <c r="G47" s="9">
        <v>36.741416600000001</v>
      </c>
      <c r="H47" s="9">
        <v>-4.7115954000000002</v>
      </c>
      <c r="I47" s="7" t="s">
        <v>323</v>
      </c>
      <c r="J47" s="7"/>
      <c r="K47" s="10" t="s">
        <v>324</v>
      </c>
      <c r="L47" s="11">
        <v>4.9000000000000004</v>
      </c>
      <c r="M47" s="7">
        <v>1057</v>
      </c>
      <c r="N47" s="12"/>
      <c r="O47" s="12">
        <v>3112</v>
      </c>
      <c r="P47" s="13" t="s">
        <v>681</v>
      </c>
      <c r="Q47" s="24" t="s">
        <v>718</v>
      </c>
      <c r="R47" s="26" t="s">
        <v>719</v>
      </c>
    </row>
    <row r="48" spans="1:18" ht="39.6" x14ac:dyDescent="0.3">
      <c r="A48" s="7" t="s">
        <v>325</v>
      </c>
      <c r="B48" s="27" t="s">
        <v>723</v>
      </c>
      <c r="C48" s="7" t="s">
        <v>110</v>
      </c>
      <c r="D48" s="7" t="s">
        <v>321</v>
      </c>
      <c r="E48" s="7" t="s">
        <v>322</v>
      </c>
      <c r="F48" s="27" t="s">
        <v>724</v>
      </c>
      <c r="G48" s="9">
        <v>36.760269800000003</v>
      </c>
      <c r="H48" s="9">
        <v>-4.7300585999999996</v>
      </c>
      <c r="I48" s="7" t="s">
        <v>326</v>
      </c>
      <c r="J48" s="7" t="s">
        <v>327</v>
      </c>
      <c r="K48" s="10" t="s">
        <v>328</v>
      </c>
      <c r="L48" s="11">
        <v>5</v>
      </c>
      <c r="M48" s="7">
        <v>587</v>
      </c>
      <c r="N48" s="12"/>
      <c r="O48" s="12">
        <v>2213</v>
      </c>
      <c r="P48" s="13" t="s">
        <v>681</v>
      </c>
      <c r="Q48" s="24" t="s">
        <v>725</v>
      </c>
      <c r="R48" s="26" t="s">
        <v>722</v>
      </c>
    </row>
    <row r="49" spans="1:18" ht="26.4" x14ac:dyDescent="0.3">
      <c r="A49" s="7" t="s">
        <v>329</v>
      </c>
      <c r="B49" s="8" t="s">
        <v>330</v>
      </c>
      <c r="C49" s="7" t="s">
        <v>331</v>
      </c>
      <c r="D49" s="7" t="s">
        <v>332</v>
      </c>
      <c r="E49" s="7" t="s">
        <v>333</v>
      </c>
      <c r="F49" s="8" t="s">
        <v>334</v>
      </c>
      <c r="G49" s="9">
        <v>36.671613700000002</v>
      </c>
      <c r="H49" s="9">
        <v>-4.5459231000000004</v>
      </c>
      <c r="I49" s="7" t="s">
        <v>335</v>
      </c>
      <c r="J49" s="7" t="s">
        <v>336</v>
      </c>
      <c r="K49" s="10" t="s">
        <v>337</v>
      </c>
      <c r="L49" s="11">
        <v>4.9000000000000004</v>
      </c>
      <c r="M49" s="7">
        <v>36</v>
      </c>
      <c r="N49" s="12"/>
      <c r="O49" s="12">
        <v>636</v>
      </c>
      <c r="P49" s="13" t="s">
        <v>686</v>
      </c>
      <c r="Q49" s="24" t="s">
        <v>786</v>
      </c>
      <c r="R49" s="14" t="s">
        <v>771</v>
      </c>
    </row>
    <row r="50" spans="1:18" x14ac:dyDescent="0.3">
      <c r="A50" s="7" t="s">
        <v>338</v>
      </c>
      <c r="B50" s="8" t="s">
        <v>339</v>
      </c>
      <c r="C50" s="7" t="s">
        <v>79</v>
      </c>
      <c r="D50" s="7" t="s">
        <v>332</v>
      </c>
      <c r="E50" s="7" t="s">
        <v>333</v>
      </c>
      <c r="F50" s="8" t="s">
        <v>340</v>
      </c>
      <c r="G50" s="9">
        <v>36.658823900000002</v>
      </c>
      <c r="H50" s="9">
        <v>-4.5664121</v>
      </c>
      <c r="I50" s="7" t="s">
        <v>341</v>
      </c>
      <c r="J50" s="7" t="s">
        <v>342</v>
      </c>
      <c r="K50" s="10" t="s">
        <v>343</v>
      </c>
      <c r="L50" s="11">
        <v>4.5999999999999996</v>
      </c>
      <c r="M50" s="7">
        <v>5</v>
      </c>
      <c r="N50" s="12"/>
      <c r="O50" s="12">
        <v>0</v>
      </c>
      <c r="P50" s="13" t="s">
        <v>695</v>
      </c>
      <c r="Q50" s="13"/>
      <c r="R50" s="14" t="s">
        <v>787</v>
      </c>
    </row>
    <row r="51" spans="1:18" x14ac:dyDescent="0.3">
      <c r="A51" s="7" t="s">
        <v>344</v>
      </c>
      <c r="B51" s="8" t="s">
        <v>345</v>
      </c>
      <c r="C51" s="7" t="s">
        <v>79</v>
      </c>
      <c r="D51" s="7" t="s">
        <v>346</v>
      </c>
      <c r="E51" s="7" t="s">
        <v>347</v>
      </c>
      <c r="F51" s="8" t="s">
        <v>346</v>
      </c>
      <c r="G51" s="9">
        <v>36.637363700000002</v>
      </c>
      <c r="H51" s="9">
        <v>-4.6909384000000003</v>
      </c>
      <c r="I51" s="7" t="s">
        <v>348</v>
      </c>
      <c r="J51" s="7" t="s">
        <v>349</v>
      </c>
      <c r="K51" s="7"/>
      <c r="L51" s="11">
        <v>5</v>
      </c>
      <c r="M51" s="7">
        <v>3</v>
      </c>
      <c r="N51" s="12"/>
      <c r="O51" s="12">
        <v>121.2</v>
      </c>
      <c r="P51" s="13" t="s">
        <v>681</v>
      </c>
      <c r="Q51" s="24" t="s">
        <v>838</v>
      </c>
      <c r="R51" s="26" t="s">
        <v>839</v>
      </c>
    </row>
    <row r="52" spans="1:18" ht="26.4" x14ac:dyDescent="0.3">
      <c r="A52" s="7" t="s">
        <v>350</v>
      </c>
      <c r="B52" s="8" t="s">
        <v>351</v>
      </c>
      <c r="C52" s="7" t="s">
        <v>79</v>
      </c>
      <c r="D52" s="7" t="s">
        <v>346</v>
      </c>
      <c r="E52" s="7" t="s">
        <v>347</v>
      </c>
      <c r="F52" s="8" t="s">
        <v>352</v>
      </c>
      <c r="G52" s="9">
        <v>36.659514399999999</v>
      </c>
      <c r="H52" s="9">
        <v>-4.6894400000000003</v>
      </c>
      <c r="I52" s="7" t="s">
        <v>353</v>
      </c>
      <c r="J52" s="7" t="s">
        <v>354</v>
      </c>
      <c r="K52" s="10" t="s">
        <v>355</v>
      </c>
      <c r="L52" s="11">
        <v>5</v>
      </c>
      <c r="M52" s="7">
        <v>23</v>
      </c>
      <c r="N52" s="12"/>
      <c r="O52" s="12">
        <v>308</v>
      </c>
      <c r="P52" s="13" t="s">
        <v>681</v>
      </c>
      <c r="Q52" s="24" t="s">
        <v>840</v>
      </c>
      <c r="R52" s="26" t="s">
        <v>841</v>
      </c>
    </row>
    <row r="53" spans="1:18" ht="26.4" x14ac:dyDescent="0.3">
      <c r="A53" s="7" t="s">
        <v>356</v>
      </c>
      <c r="B53" s="8" t="s">
        <v>357</v>
      </c>
      <c r="C53" s="7" t="s">
        <v>79</v>
      </c>
      <c r="D53" s="7" t="s">
        <v>346</v>
      </c>
      <c r="E53" s="7" t="s">
        <v>347</v>
      </c>
      <c r="F53" s="8" t="s">
        <v>358</v>
      </c>
      <c r="G53" s="9">
        <v>36.660107000000004</v>
      </c>
      <c r="H53" s="9">
        <v>-4.6905991</v>
      </c>
      <c r="I53" s="7" t="s">
        <v>359</v>
      </c>
      <c r="J53" s="7" t="s">
        <v>360</v>
      </c>
      <c r="K53" s="10" t="s">
        <v>361</v>
      </c>
      <c r="L53" s="11">
        <v>5</v>
      </c>
      <c r="M53" s="7">
        <v>56</v>
      </c>
      <c r="N53" s="12"/>
      <c r="O53" s="12">
        <v>403</v>
      </c>
      <c r="P53" s="13" t="s">
        <v>681</v>
      </c>
      <c r="Q53" s="24" t="s">
        <v>842</v>
      </c>
      <c r="R53" s="26" t="s">
        <v>843</v>
      </c>
    </row>
    <row r="54" spans="1:18" ht="52.8" x14ac:dyDescent="0.3">
      <c r="A54" s="7" t="s">
        <v>362</v>
      </c>
      <c r="B54" s="8" t="s">
        <v>363</v>
      </c>
      <c r="C54" s="7" t="s">
        <v>60</v>
      </c>
      <c r="D54" s="7" t="s">
        <v>364</v>
      </c>
      <c r="E54" s="7" t="s">
        <v>365</v>
      </c>
      <c r="F54" s="8" t="s">
        <v>366</v>
      </c>
      <c r="G54" s="9">
        <v>36.657445600000003</v>
      </c>
      <c r="H54" s="9">
        <v>-4.7610663000000004</v>
      </c>
      <c r="I54" s="7" t="s">
        <v>367</v>
      </c>
      <c r="J54" s="7" t="s">
        <v>368</v>
      </c>
      <c r="K54" s="10" t="s">
        <v>369</v>
      </c>
      <c r="L54" s="11"/>
      <c r="M54" s="7"/>
      <c r="N54" s="12"/>
      <c r="O54" s="12">
        <v>4731</v>
      </c>
      <c r="P54" s="13" t="s">
        <v>695</v>
      </c>
      <c r="Q54" s="24" t="s">
        <v>694</v>
      </c>
      <c r="R54" s="14" t="s">
        <v>696</v>
      </c>
    </row>
    <row r="55" spans="1:18" x14ac:dyDescent="0.3">
      <c r="A55" s="7" t="s">
        <v>370</v>
      </c>
      <c r="B55" s="8" t="s">
        <v>371</v>
      </c>
      <c r="C55" s="7" t="s">
        <v>285</v>
      </c>
      <c r="D55" s="7" t="s">
        <v>364</v>
      </c>
      <c r="E55" s="7" t="s">
        <v>365</v>
      </c>
      <c r="F55" s="8" t="s">
        <v>372</v>
      </c>
      <c r="G55" s="9">
        <v>36.668349900000003</v>
      </c>
      <c r="H55" s="9">
        <v>-4.7403700000000004</v>
      </c>
      <c r="I55" s="7" t="s">
        <v>373</v>
      </c>
      <c r="J55" s="7" t="s">
        <v>374</v>
      </c>
      <c r="K55" s="7"/>
      <c r="L55" s="11">
        <v>4.5999999999999996</v>
      </c>
      <c r="M55" s="7">
        <v>9</v>
      </c>
      <c r="N55" s="12"/>
      <c r="O55" s="12">
        <v>610</v>
      </c>
      <c r="P55" s="13" t="s">
        <v>695</v>
      </c>
      <c r="Q55" s="24" t="s">
        <v>788</v>
      </c>
      <c r="R55" s="14" t="s">
        <v>771</v>
      </c>
    </row>
    <row r="56" spans="1:18" x14ac:dyDescent="0.3">
      <c r="A56" s="7" t="s">
        <v>375</v>
      </c>
      <c r="B56" s="8" t="s">
        <v>376</v>
      </c>
      <c r="C56" s="7" t="s">
        <v>79</v>
      </c>
      <c r="D56" s="7" t="s">
        <v>377</v>
      </c>
      <c r="E56" s="7" t="s">
        <v>378</v>
      </c>
      <c r="F56" s="8" t="s">
        <v>377</v>
      </c>
      <c r="G56" s="9">
        <v>36.715871100000001</v>
      </c>
      <c r="H56" s="9">
        <v>-4.2902975000000003</v>
      </c>
      <c r="I56" s="7" t="s">
        <v>379</v>
      </c>
      <c r="J56" s="7" t="s">
        <v>380</v>
      </c>
      <c r="K56" s="7"/>
      <c r="L56" s="11">
        <v>5</v>
      </c>
      <c r="M56" s="7">
        <v>5</v>
      </c>
      <c r="N56" s="12">
        <v>200</v>
      </c>
      <c r="O56" s="12"/>
      <c r="P56" s="13" t="s">
        <v>686</v>
      </c>
      <c r="Q56" s="13" t="s">
        <v>819</v>
      </c>
      <c r="R56" s="14" t="s">
        <v>820</v>
      </c>
    </row>
    <row r="57" spans="1:18" x14ac:dyDescent="0.3">
      <c r="A57" s="7" t="s">
        <v>381</v>
      </c>
      <c r="B57" s="8" t="s">
        <v>382</v>
      </c>
      <c r="C57" s="7" t="s">
        <v>79</v>
      </c>
      <c r="D57" s="7" t="s">
        <v>377</v>
      </c>
      <c r="E57" s="7" t="s">
        <v>378</v>
      </c>
      <c r="F57" s="8" t="s">
        <v>377</v>
      </c>
      <c r="G57" s="9">
        <v>36.7164079</v>
      </c>
      <c r="H57" s="9">
        <v>-4.2853076999999997</v>
      </c>
      <c r="I57" s="7" t="s">
        <v>383</v>
      </c>
      <c r="J57" s="7" t="s">
        <v>384</v>
      </c>
      <c r="K57" s="10" t="s">
        <v>385</v>
      </c>
      <c r="L57" s="11">
        <v>4.8</v>
      </c>
      <c r="M57" s="7">
        <v>5</v>
      </c>
      <c r="N57" s="12"/>
      <c r="O57" s="12">
        <v>363</v>
      </c>
      <c r="P57" s="13" t="s">
        <v>695</v>
      </c>
      <c r="Q57" s="24" t="s">
        <v>821</v>
      </c>
      <c r="R57" s="14" t="s">
        <v>822</v>
      </c>
    </row>
    <row r="58" spans="1:18" ht="26.4" x14ac:dyDescent="0.3">
      <c r="A58" s="7" t="s">
        <v>386</v>
      </c>
      <c r="B58" s="8" t="s">
        <v>387</v>
      </c>
      <c r="C58" s="7" t="s">
        <v>79</v>
      </c>
      <c r="D58" s="7" t="s">
        <v>377</v>
      </c>
      <c r="E58" s="7" t="s">
        <v>388</v>
      </c>
      <c r="F58" s="8" t="s">
        <v>389</v>
      </c>
      <c r="G58" s="9">
        <v>36.720203699999999</v>
      </c>
      <c r="H58" s="9">
        <v>-4.2701010999999998</v>
      </c>
      <c r="I58" s="7" t="s">
        <v>390</v>
      </c>
      <c r="J58" s="7" t="s">
        <v>391</v>
      </c>
      <c r="K58" s="7"/>
      <c r="L58" s="11">
        <v>4.2</v>
      </c>
      <c r="M58" s="7">
        <v>5</v>
      </c>
      <c r="N58" s="12"/>
      <c r="O58" s="12">
        <f>347+68+427+316</f>
        <v>1158</v>
      </c>
      <c r="P58" s="13" t="s">
        <v>681</v>
      </c>
      <c r="Q58" s="24" t="s">
        <v>823</v>
      </c>
      <c r="R58" s="26" t="s">
        <v>824</v>
      </c>
    </row>
    <row r="59" spans="1:18" ht="39.6" x14ac:dyDescent="0.3">
      <c r="A59" s="7" t="s">
        <v>392</v>
      </c>
      <c r="B59" s="8" t="s">
        <v>393</v>
      </c>
      <c r="C59" s="7" t="s">
        <v>79</v>
      </c>
      <c r="D59" s="7" t="s">
        <v>377</v>
      </c>
      <c r="E59" s="7" t="s">
        <v>378</v>
      </c>
      <c r="F59" s="8" t="s">
        <v>377</v>
      </c>
      <c r="G59" s="9">
        <v>36.732539000000003</v>
      </c>
      <c r="H59" s="9">
        <v>-4.2706454000000003</v>
      </c>
      <c r="I59" s="7" t="s">
        <v>394</v>
      </c>
      <c r="J59" s="7"/>
      <c r="K59" s="29" t="s">
        <v>825</v>
      </c>
      <c r="L59" s="11"/>
      <c r="M59" s="7"/>
      <c r="N59" s="12">
        <f>30*3.5</f>
        <v>105</v>
      </c>
      <c r="O59" s="12"/>
      <c r="P59" s="13" t="s">
        <v>681</v>
      </c>
      <c r="Q59" s="24" t="s">
        <v>825</v>
      </c>
      <c r="R59" s="26" t="s">
        <v>826</v>
      </c>
    </row>
    <row r="60" spans="1:18" ht="26.4" x14ac:dyDescent="0.3">
      <c r="A60" s="7" t="s">
        <v>395</v>
      </c>
      <c r="B60" s="8" t="s">
        <v>396</v>
      </c>
      <c r="C60" s="7" t="s">
        <v>397</v>
      </c>
      <c r="D60" s="7" t="s">
        <v>398</v>
      </c>
      <c r="E60" s="7" t="s">
        <v>399</v>
      </c>
      <c r="F60" s="8" t="s">
        <v>400</v>
      </c>
      <c r="G60" s="9">
        <v>36.763630800000001</v>
      </c>
      <c r="H60" s="9">
        <v>-4.0960725</v>
      </c>
      <c r="I60" s="7" t="s">
        <v>401</v>
      </c>
      <c r="J60" s="7" t="s">
        <v>402</v>
      </c>
      <c r="K60" s="10" t="s">
        <v>403</v>
      </c>
      <c r="L60" s="11">
        <v>5</v>
      </c>
      <c r="M60" s="7">
        <v>66</v>
      </c>
      <c r="N60" s="12"/>
      <c r="O60" s="12">
        <v>509</v>
      </c>
      <c r="P60" s="13" t="s">
        <v>686</v>
      </c>
      <c r="Q60" s="24" t="s">
        <v>772</v>
      </c>
      <c r="R60" s="14" t="s">
        <v>771</v>
      </c>
    </row>
    <row r="61" spans="1:18" x14ac:dyDescent="0.3">
      <c r="A61" s="7" t="s">
        <v>404</v>
      </c>
      <c r="B61" s="8" t="s">
        <v>405</v>
      </c>
      <c r="C61" s="7" t="s">
        <v>79</v>
      </c>
      <c r="D61" s="7" t="s">
        <v>398</v>
      </c>
      <c r="E61" s="7" t="s">
        <v>399</v>
      </c>
      <c r="F61" s="8" t="s">
        <v>406</v>
      </c>
      <c r="G61" s="9">
        <v>36.774723799999997</v>
      </c>
      <c r="H61" s="9">
        <v>-4.1011473000000001</v>
      </c>
      <c r="I61" s="7" t="s">
        <v>407</v>
      </c>
      <c r="J61" s="7" t="s">
        <v>408</v>
      </c>
      <c r="K61" s="10" t="s">
        <v>409</v>
      </c>
      <c r="L61" s="11">
        <v>5</v>
      </c>
      <c r="M61" s="7">
        <v>3</v>
      </c>
      <c r="N61" s="12"/>
      <c r="O61" s="12">
        <v>230</v>
      </c>
      <c r="P61" s="13" t="s">
        <v>695</v>
      </c>
      <c r="Q61" s="24" t="s">
        <v>774</v>
      </c>
      <c r="R61" s="14" t="s">
        <v>773</v>
      </c>
    </row>
    <row r="62" spans="1:18" ht="26.4" x14ac:dyDescent="0.3">
      <c r="A62" s="7" t="s">
        <v>410</v>
      </c>
      <c r="B62" s="8" t="s">
        <v>411</v>
      </c>
      <c r="C62" s="7" t="s">
        <v>79</v>
      </c>
      <c r="D62" s="7" t="s">
        <v>398</v>
      </c>
      <c r="E62" s="7" t="s">
        <v>399</v>
      </c>
      <c r="F62" s="8" t="s">
        <v>412</v>
      </c>
      <c r="G62" s="9">
        <v>36.7775088</v>
      </c>
      <c r="H62" s="9">
        <v>-4.0997342999999997</v>
      </c>
      <c r="I62" s="7" t="s">
        <v>413</v>
      </c>
      <c r="J62" s="7" t="s">
        <v>414</v>
      </c>
      <c r="K62" s="7"/>
      <c r="L62" s="11">
        <v>4.5999999999999996</v>
      </c>
      <c r="M62" s="7">
        <v>10</v>
      </c>
      <c r="N62" s="12"/>
      <c r="O62" s="12">
        <v>234</v>
      </c>
      <c r="P62" s="13" t="s">
        <v>695</v>
      </c>
      <c r="Q62" s="24" t="s">
        <v>776</v>
      </c>
      <c r="R62" s="14" t="s">
        <v>775</v>
      </c>
    </row>
    <row r="63" spans="1:18" x14ac:dyDescent="0.3">
      <c r="A63" s="7" t="s">
        <v>415</v>
      </c>
      <c r="B63" s="8" t="s">
        <v>416</v>
      </c>
      <c r="C63" s="7" t="s">
        <v>397</v>
      </c>
      <c r="D63" s="7" t="s">
        <v>398</v>
      </c>
      <c r="E63" s="7" t="s">
        <v>399</v>
      </c>
      <c r="F63" s="8" t="s">
        <v>417</v>
      </c>
      <c r="G63" s="9">
        <v>36.783041099999998</v>
      </c>
      <c r="H63" s="9">
        <v>-4.1089067999999997</v>
      </c>
      <c r="I63" s="7" t="s">
        <v>418</v>
      </c>
      <c r="J63" s="7" t="s">
        <v>419</v>
      </c>
      <c r="K63" s="10" t="s">
        <v>420</v>
      </c>
      <c r="L63" s="11">
        <v>5</v>
      </c>
      <c r="M63" s="7">
        <v>58</v>
      </c>
      <c r="N63" s="12"/>
      <c r="O63" s="12">
        <v>300</v>
      </c>
      <c r="P63" s="13" t="s">
        <v>695</v>
      </c>
      <c r="Q63" s="24" t="s">
        <v>778</v>
      </c>
      <c r="R63" s="14" t="s">
        <v>777</v>
      </c>
    </row>
    <row r="64" spans="1:18" x14ac:dyDescent="0.3">
      <c r="A64" s="7" t="s">
        <v>421</v>
      </c>
      <c r="B64" s="8" t="s">
        <v>422</v>
      </c>
      <c r="C64" s="7" t="s">
        <v>79</v>
      </c>
      <c r="D64" s="7" t="s">
        <v>398</v>
      </c>
      <c r="E64" s="7" t="s">
        <v>399</v>
      </c>
      <c r="F64" s="8" t="s">
        <v>398</v>
      </c>
      <c r="G64" s="9">
        <v>36.784739999999999</v>
      </c>
      <c r="H64" s="9">
        <v>-4.1074799999999998</v>
      </c>
      <c r="I64" s="7" t="s">
        <v>423</v>
      </c>
      <c r="J64" s="7" t="s">
        <v>424</v>
      </c>
      <c r="K64" s="7"/>
      <c r="L64" s="11">
        <v>5</v>
      </c>
      <c r="M64" s="7">
        <v>2</v>
      </c>
      <c r="N64" s="12"/>
      <c r="O64" s="12">
        <v>162</v>
      </c>
      <c r="P64" s="13" t="s">
        <v>681</v>
      </c>
      <c r="Q64" s="24" t="s">
        <v>779</v>
      </c>
      <c r="R64" s="14" t="s">
        <v>780</v>
      </c>
    </row>
    <row r="65" spans="1:18" x14ac:dyDescent="0.3">
      <c r="A65" s="7" t="s">
        <v>425</v>
      </c>
      <c r="B65" s="8" t="s">
        <v>426</v>
      </c>
      <c r="C65" s="7" t="s">
        <v>79</v>
      </c>
      <c r="D65" s="7" t="s">
        <v>398</v>
      </c>
      <c r="E65" s="7" t="s">
        <v>427</v>
      </c>
      <c r="F65" s="8" t="s">
        <v>428</v>
      </c>
      <c r="G65" s="9">
        <v>36.742607200000002</v>
      </c>
      <c r="H65" s="9">
        <v>-4.0989801000000003</v>
      </c>
      <c r="I65" s="7" t="s">
        <v>429</v>
      </c>
      <c r="J65" s="7" t="s">
        <v>430</v>
      </c>
      <c r="K65" s="10" t="s">
        <v>431</v>
      </c>
      <c r="L65" s="11"/>
      <c r="M65" s="7"/>
      <c r="N65" s="12"/>
      <c r="O65" s="12">
        <v>189</v>
      </c>
      <c r="P65" s="13" t="s">
        <v>681</v>
      </c>
      <c r="Q65" s="24" t="s">
        <v>781</v>
      </c>
      <c r="R65" s="14" t="s">
        <v>780</v>
      </c>
    </row>
    <row r="66" spans="1:18" ht="26.4" x14ac:dyDescent="0.3">
      <c r="A66" s="7" t="s">
        <v>432</v>
      </c>
      <c r="B66" s="8" t="s">
        <v>433</v>
      </c>
      <c r="C66" s="7" t="s">
        <v>79</v>
      </c>
      <c r="D66" s="7" t="s">
        <v>398</v>
      </c>
      <c r="E66" s="7" t="s">
        <v>427</v>
      </c>
      <c r="F66" s="8" t="s">
        <v>434</v>
      </c>
      <c r="G66" s="9">
        <v>36.741982999999998</v>
      </c>
      <c r="H66" s="9">
        <v>-4.0915499000000004</v>
      </c>
      <c r="I66" s="7" t="s">
        <v>435</v>
      </c>
      <c r="J66" s="7" t="s">
        <v>436</v>
      </c>
      <c r="K66" s="7"/>
      <c r="L66" s="11">
        <v>5</v>
      </c>
      <c r="M66" s="7">
        <v>33</v>
      </c>
      <c r="N66" s="12"/>
      <c r="O66" s="12">
        <v>94</v>
      </c>
      <c r="P66" s="13" t="s">
        <v>681</v>
      </c>
      <c r="Q66" s="24" t="s">
        <v>783</v>
      </c>
      <c r="R66" s="14" t="s">
        <v>782</v>
      </c>
    </row>
    <row r="67" spans="1:18" ht="26.4" x14ac:dyDescent="0.3">
      <c r="A67" s="7" t="s">
        <v>437</v>
      </c>
      <c r="B67" s="8" t="s">
        <v>438</v>
      </c>
      <c r="C67" s="7" t="s">
        <v>79</v>
      </c>
      <c r="D67" s="7" t="s">
        <v>398</v>
      </c>
      <c r="E67" s="7" t="s">
        <v>427</v>
      </c>
      <c r="F67" s="8" t="s">
        <v>439</v>
      </c>
      <c r="G67" s="9">
        <v>36.740491400000003</v>
      </c>
      <c r="H67" s="9">
        <v>-4.0944447000000004</v>
      </c>
      <c r="I67" s="7" t="s">
        <v>440</v>
      </c>
      <c r="J67" s="7" t="s">
        <v>441</v>
      </c>
      <c r="K67" s="10" t="s">
        <v>442</v>
      </c>
      <c r="L67" s="11">
        <v>4.4000000000000004</v>
      </c>
      <c r="M67" s="7">
        <v>19</v>
      </c>
      <c r="N67" s="12"/>
      <c r="O67" s="12">
        <v>98</v>
      </c>
      <c r="P67" s="13" t="s">
        <v>681</v>
      </c>
      <c r="Q67" s="24" t="s">
        <v>785</v>
      </c>
      <c r="R67" s="14" t="s">
        <v>784</v>
      </c>
    </row>
    <row r="68" spans="1:18" ht="26.4" x14ac:dyDescent="0.3">
      <c r="A68" s="7" t="s">
        <v>443</v>
      </c>
      <c r="B68" s="8" t="s">
        <v>444</v>
      </c>
      <c r="C68" s="7" t="s">
        <v>79</v>
      </c>
      <c r="D68" s="7" t="s">
        <v>445</v>
      </c>
      <c r="E68" s="7" t="s">
        <v>446</v>
      </c>
      <c r="F68" s="8" t="s">
        <v>447</v>
      </c>
      <c r="G68" s="9">
        <v>36.753483699999997</v>
      </c>
      <c r="H68" s="9">
        <v>-3.8832070000000001</v>
      </c>
      <c r="I68" s="7" t="s">
        <v>448</v>
      </c>
      <c r="J68" s="7" t="s">
        <v>449</v>
      </c>
      <c r="K68" s="10" t="s">
        <v>450</v>
      </c>
      <c r="L68" s="11">
        <v>5</v>
      </c>
      <c r="M68" s="7">
        <v>5</v>
      </c>
      <c r="N68" s="12"/>
      <c r="O68" s="12">
        <v>270</v>
      </c>
      <c r="P68" s="13" t="s">
        <v>681</v>
      </c>
      <c r="Q68" s="24" t="s">
        <v>836</v>
      </c>
      <c r="R68" s="26" t="s">
        <v>837</v>
      </c>
    </row>
    <row r="69" spans="1:18" x14ac:dyDescent="0.3">
      <c r="A69" s="7" t="s">
        <v>451</v>
      </c>
      <c r="B69" s="8" t="s">
        <v>452</v>
      </c>
      <c r="C69" s="7" t="s">
        <v>79</v>
      </c>
      <c r="D69" s="7" t="s">
        <v>445</v>
      </c>
      <c r="E69" s="7" t="s">
        <v>446</v>
      </c>
      <c r="F69" s="8" t="s">
        <v>453</v>
      </c>
      <c r="G69" s="9">
        <v>36.755126500000003</v>
      </c>
      <c r="H69" s="9">
        <v>-3.8867093000000001</v>
      </c>
      <c r="I69" s="7" t="s">
        <v>454</v>
      </c>
      <c r="J69" s="7" t="s">
        <v>455</v>
      </c>
      <c r="K69" s="7"/>
      <c r="L69" s="11">
        <v>5</v>
      </c>
      <c r="M69" s="7">
        <v>3</v>
      </c>
      <c r="N69" s="12"/>
      <c r="O69" s="12">
        <v>546.66666666666663</v>
      </c>
      <c r="P69" s="13" t="s">
        <v>695</v>
      </c>
      <c r="Q69" s="24" t="s">
        <v>834</v>
      </c>
      <c r="R69" s="26" t="s">
        <v>835</v>
      </c>
    </row>
    <row r="70" spans="1:18" x14ac:dyDescent="0.3">
      <c r="A70" s="7" t="s">
        <v>456</v>
      </c>
      <c r="B70" s="8" t="s">
        <v>457</v>
      </c>
      <c r="C70" s="7" t="s">
        <v>79</v>
      </c>
      <c r="D70" s="7" t="s">
        <v>458</v>
      </c>
      <c r="E70" s="7" t="s">
        <v>459</v>
      </c>
      <c r="F70" s="8" t="s">
        <v>460</v>
      </c>
      <c r="G70" s="9">
        <v>36.510866499999999</v>
      </c>
      <c r="H70" s="9">
        <v>-4.9002119999999998</v>
      </c>
      <c r="I70" s="7" t="s">
        <v>461</v>
      </c>
      <c r="J70" s="7" t="s">
        <v>462</v>
      </c>
      <c r="K70" s="10" t="s">
        <v>463</v>
      </c>
      <c r="L70" s="11">
        <v>5</v>
      </c>
      <c r="M70" s="7">
        <v>1</v>
      </c>
      <c r="N70" s="12"/>
      <c r="O70" s="12">
        <v>0</v>
      </c>
      <c r="P70" s="13" t="s">
        <v>695</v>
      </c>
      <c r="Q70" s="24" t="s">
        <v>791</v>
      </c>
      <c r="R70" s="14" t="s">
        <v>790</v>
      </c>
    </row>
    <row r="71" spans="1:18" x14ac:dyDescent="0.3">
      <c r="A71" s="7" t="s">
        <v>464</v>
      </c>
      <c r="B71" s="8" t="s">
        <v>465</v>
      </c>
      <c r="C71" s="7" t="s">
        <v>79</v>
      </c>
      <c r="D71" s="7" t="s">
        <v>458</v>
      </c>
      <c r="E71" s="7" t="s">
        <v>466</v>
      </c>
      <c r="F71" s="8" t="s">
        <v>467</v>
      </c>
      <c r="G71" s="9">
        <v>36.512270200000003</v>
      </c>
      <c r="H71" s="9">
        <v>-4.8623621999999997</v>
      </c>
      <c r="I71" s="7" t="s">
        <v>468</v>
      </c>
      <c r="J71" s="7" t="s">
        <v>469</v>
      </c>
      <c r="K71" s="10" t="s">
        <v>470</v>
      </c>
      <c r="L71" s="11">
        <v>4.7</v>
      </c>
      <c r="M71" s="7">
        <v>13</v>
      </c>
      <c r="N71" s="12"/>
      <c r="O71" s="12">
        <v>0</v>
      </c>
      <c r="P71" s="13" t="s">
        <v>695</v>
      </c>
      <c r="Q71" s="24" t="s">
        <v>792</v>
      </c>
      <c r="R71" s="14" t="s">
        <v>793</v>
      </c>
    </row>
    <row r="72" spans="1:18" x14ac:dyDescent="0.3">
      <c r="A72" s="7" t="s">
        <v>471</v>
      </c>
      <c r="B72" s="8" t="s">
        <v>472</v>
      </c>
      <c r="C72" s="7" t="s">
        <v>79</v>
      </c>
      <c r="D72" s="7" t="s">
        <v>458</v>
      </c>
      <c r="E72" s="7" t="s">
        <v>466</v>
      </c>
      <c r="F72" s="8" t="s">
        <v>473</v>
      </c>
      <c r="G72" s="9">
        <v>36.509959700000003</v>
      </c>
      <c r="H72" s="9">
        <v>-4.8669814999999996</v>
      </c>
      <c r="I72" s="7" t="s">
        <v>474</v>
      </c>
      <c r="J72" s="7" t="s">
        <v>475</v>
      </c>
      <c r="K72" s="10" t="s">
        <v>476</v>
      </c>
      <c r="L72" s="11">
        <v>4.8</v>
      </c>
      <c r="M72" s="7">
        <v>71</v>
      </c>
      <c r="N72" s="12"/>
      <c r="O72" s="12">
        <v>700</v>
      </c>
      <c r="P72" s="13" t="s">
        <v>695</v>
      </c>
      <c r="Q72" s="24" t="s">
        <v>795</v>
      </c>
      <c r="R72" s="14" t="s">
        <v>794</v>
      </c>
    </row>
    <row r="73" spans="1:18" ht="26.4" x14ac:dyDescent="0.3">
      <c r="A73" s="7" t="s">
        <v>477</v>
      </c>
      <c r="B73" s="8" t="s">
        <v>478</v>
      </c>
      <c r="C73" s="7" t="s">
        <v>73</v>
      </c>
      <c r="D73" s="7" t="s">
        <v>458</v>
      </c>
      <c r="E73" s="7" t="s">
        <v>466</v>
      </c>
      <c r="F73" s="8" t="s">
        <v>479</v>
      </c>
      <c r="G73" s="9">
        <v>36.510588499999997</v>
      </c>
      <c r="H73" s="9">
        <v>-4.8702538999999998</v>
      </c>
      <c r="I73" s="7" t="s">
        <v>480</v>
      </c>
      <c r="J73" s="7" t="s">
        <v>481</v>
      </c>
      <c r="K73" s="10" t="s">
        <v>482</v>
      </c>
      <c r="L73" s="11">
        <v>4.5999999999999996</v>
      </c>
      <c r="M73" s="7">
        <v>62</v>
      </c>
      <c r="N73" s="12"/>
      <c r="O73" s="12">
        <v>1266</v>
      </c>
      <c r="P73" s="13" t="s">
        <v>681</v>
      </c>
      <c r="Q73" s="24" t="s">
        <v>730</v>
      </c>
      <c r="R73" s="26" t="s">
        <v>731</v>
      </c>
    </row>
    <row r="74" spans="1:18" x14ac:dyDescent="0.3">
      <c r="A74" s="7" t="s">
        <v>483</v>
      </c>
      <c r="B74" s="8" t="s">
        <v>484</v>
      </c>
      <c r="C74" s="7" t="s">
        <v>79</v>
      </c>
      <c r="D74" s="7" t="s">
        <v>458</v>
      </c>
      <c r="E74" s="7" t="s">
        <v>485</v>
      </c>
      <c r="F74" s="8" t="s">
        <v>458</v>
      </c>
      <c r="G74" s="9">
        <v>36.503189599999999</v>
      </c>
      <c r="H74" s="9">
        <v>-4.8068632999999998</v>
      </c>
      <c r="I74" s="7" t="s">
        <v>486</v>
      </c>
      <c r="J74" s="7" t="s">
        <v>487</v>
      </c>
      <c r="K74" s="10" t="s">
        <v>488</v>
      </c>
      <c r="L74" s="11">
        <v>5</v>
      </c>
      <c r="M74" s="7">
        <v>1</v>
      </c>
      <c r="N74" s="12"/>
      <c r="O74" s="12">
        <v>0</v>
      </c>
      <c r="P74" s="13" t="s">
        <v>695</v>
      </c>
      <c r="Q74" s="24" t="s">
        <v>796</v>
      </c>
      <c r="R74" s="14" t="s">
        <v>793</v>
      </c>
    </row>
    <row r="75" spans="1:18" ht="26.4" x14ac:dyDescent="0.3">
      <c r="A75" s="7" t="s">
        <v>489</v>
      </c>
      <c r="B75" s="8" t="s">
        <v>490</v>
      </c>
      <c r="C75" s="7" t="s">
        <v>79</v>
      </c>
      <c r="D75" s="7" t="s">
        <v>458</v>
      </c>
      <c r="E75" s="7" t="s">
        <v>491</v>
      </c>
      <c r="F75" s="8" t="s">
        <v>492</v>
      </c>
      <c r="G75" s="9">
        <v>36.502295199999999</v>
      </c>
      <c r="H75" s="9">
        <v>-4.9789795999999997</v>
      </c>
      <c r="I75" s="7" t="s">
        <v>493</v>
      </c>
      <c r="J75" s="7" t="s">
        <v>494</v>
      </c>
      <c r="K75" s="10" t="s">
        <v>495</v>
      </c>
      <c r="L75" s="11">
        <v>4.5999999999999996</v>
      </c>
      <c r="M75" s="7">
        <v>42</v>
      </c>
      <c r="N75" s="12"/>
      <c r="O75" s="12">
        <v>1017</v>
      </c>
      <c r="P75" s="13" t="s">
        <v>686</v>
      </c>
      <c r="Q75" s="24" t="s">
        <v>797</v>
      </c>
      <c r="R75" s="14" t="s">
        <v>771</v>
      </c>
    </row>
    <row r="76" spans="1:18" x14ac:dyDescent="0.3">
      <c r="A76" s="7" t="s">
        <v>496</v>
      </c>
      <c r="B76" s="8" t="s">
        <v>497</v>
      </c>
      <c r="C76" s="7" t="s">
        <v>79</v>
      </c>
      <c r="D76" s="7" t="s">
        <v>458</v>
      </c>
      <c r="E76" s="7" t="s">
        <v>498</v>
      </c>
      <c r="F76" s="8" t="s">
        <v>499</v>
      </c>
      <c r="G76" s="9">
        <v>36.495981899999997</v>
      </c>
      <c r="H76" s="9">
        <v>-4.9921346</v>
      </c>
      <c r="I76" s="7" t="s">
        <v>500</v>
      </c>
      <c r="J76" s="7" t="s">
        <v>501</v>
      </c>
      <c r="K76" s="10" t="s">
        <v>502</v>
      </c>
      <c r="L76" s="11">
        <v>4.9000000000000004</v>
      </c>
      <c r="M76" s="7">
        <v>46</v>
      </c>
      <c r="N76" s="12"/>
      <c r="O76" s="12">
        <v>551</v>
      </c>
      <c r="P76" s="13" t="s">
        <v>681</v>
      </c>
      <c r="Q76" s="24" t="s">
        <v>798</v>
      </c>
      <c r="R76" s="14"/>
    </row>
    <row r="77" spans="1:18" x14ac:dyDescent="0.3">
      <c r="A77" s="7" t="s">
        <v>503</v>
      </c>
      <c r="B77" s="8" t="s">
        <v>504</v>
      </c>
      <c r="C77" s="7" t="s">
        <v>505</v>
      </c>
      <c r="D77" s="7" t="s">
        <v>458</v>
      </c>
      <c r="E77" s="7" t="s">
        <v>498</v>
      </c>
      <c r="F77" s="8" t="s">
        <v>506</v>
      </c>
      <c r="G77" s="9">
        <v>36.497644899999997</v>
      </c>
      <c r="H77" s="9">
        <v>-4.9923773999999996</v>
      </c>
      <c r="I77" s="7" t="s">
        <v>507</v>
      </c>
      <c r="J77" s="7" t="s">
        <v>508</v>
      </c>
      <c r="K77" s="10" t="s">
        <v>509</v>
      </c>
      <c r="L77" s="11">
        <v>4.8</v>
      </c>
      <c r="M77" s="7">
        <v>53</v>
      </c>
      <c r="N77" s="12"/>
      <c r="O77" s="12">
        <v>536</v>
      </c>
      <c r="P77" s="13" t="s">
        <v>681</v>
      </c>
      <c r="Q77" s="24" t="s">
        <v>707</v>
      </c>
      <c r="R77" s="14"/>
    </row>
    <row r="78" spans="1:18" x14ac:dyDescent="0.3">
      <c r="A78" s="7" t="s">
        <v>510</v>
      </c>
      <c r="B78" s="8" t="s">
        <v>511</v>
      </c>
      <c r="C78" s="7" t="s">
        <v>505</v>
      </c>
      <c r="D78" s="7" t="s">
        <v>458</v>
      </c>
      <c r="E78" s="7" t="s">
        <v>498</v>
      </c>
      <c r="F78" s="8" t="s">
        <v>512</v>
      </c>
      <c r="G78" s="9">
        <v>36.497668099999999</v>
      </c>
      <c r="H78" s="9">
        <v>-4.9945311999999999</v>
      </c>
      <c r="I78" s="7" t="s">
        <v>513</v>
      </c>
      <c r="J78" s="7" t="s">
        <v>514</v>
      </c>
      <c r="K78" s="10" t="s">
        <v>515</v>
      </c>
      <c r="L78" s="11">
        <v>5</v>
      </c>
      <c r="M78" s="7">
        <v>30</v>
      </c>
      <c r="N78" s="12"/>
      <c r="O78" s="12">
        <v>472</v>
      </c>
      <c r="P78" s="13" t="s">
        <v>681</v>
      </c>
      <c r="Q78" s="24" t="s">
        <v>706</v>
      </c>
      <c r="R78" s="14"/>
    </row>
    <row r="79" spans="1:18" x14ac:dyDescent="0.3">
      <c r="A79" s="7" t="s">
        <v>516</v>
      </c>
      <c r="B79" s="8" t="s">
        <v>517</v>
      </c>
      <c r="C79" s="7" t="s">
        <v>79</v>
      </c>
      <c r="D79" s="7" t="s">
        <v>458</v>
      </c>
      <c r="E79" s="7" t="s">
        <v>498</v>
      </c>
      <c r="F79" s="8" t="s">
        <v>518</v>
      </c>
      <c r="G79" s="9">
        <v>36.498240000000003</v>
      </c>
      <c r="H79" s="9">
        <v>-4.9934690000000002</v>
      </c>
      <c r="I79" s="7" t="s">
        <v>519</v>
      </c>
      <c r="J79" s="7" t="s">
        <v>520</v>
      </c>
      <c r="K79" s="10" t="s">
        <v>521</v>
      </c>
      <c r="L79" s="11">
        <v>5</v>
      </c>
      <c r="M79" s="7">
        <v>12</v>
      </c>
      <c r="N79" s="12"/>
      <c r="O79" s="12">
        <v>2009</v>
      </c>
      <c r="P79" s="13" t="s">
        <v>695</v>
      </c>
      <c r="Q79" s="24" t="s">
        <v>799</v>
      </c>
      <c r="R79" s="14"/>
    </row>
    <row r="80" spans="1:18" x14ac:dyDescent="0.3">
      <c r="A80" s="7" t="s">
        <v>522</v>
      </c>
      <c r="B80" s="8" t="s">
        <v>523</v>
      </c>
      <c r="C80" s="7" t="s">
        <v>331</v>
      </c>
      <c r="D80" s="7" t="s">
        <v>458</v>
      </c>
      <c r="E80" s="7" t="s">
        <v>498</v>
      </c>
      <c r="F80" s="8" t="s">
        <v>524</v>
      </c>
      <c r="G80" s="9">
        <v>36.497070700000002</v>
      </c>
      <c r="H80" s="9">
        <v>-4.9921154999999997</v>
      </c>
      <c r="I80" s="7" t="s">
        <v>525</v>
      </c>
      <c r="J80" s="7" t="s">
        <v>526</v>
      </c>
      <c r="K80" s="10" t="s">
        <v>527</v>
      </c>
      <c r="L80" s="11">
        <v>5</v>
      </c>
      <c r="M80" s="7">
        <v>5</v>
      </c>
      <c r="N80" s="12"/>
      <c r="O80" s="12">
        <v>612</v>
      </c>
      <c r="P80" s="13" t="s">
        <v>695</v>
      </c>
      <c r="Q80" s="24" t="s">
        <v>707</v>
      </c>
      <c r="R80" s="14" t="s">
        <v>800</v>
      </c>
    </row>
    <row r="81" spans="1:18" x14ac:dyDescent="0.3">
      <c r="A81" s="7" t="s">
        <v>528</v>
      </c>
      <c r="B81" s="8" t="s">
        <v>529</v>
      </c>
      <c r="C81" s="7" t="s">
        <v>530</v>
      </c>
      <c r="D81" s="7" t="s">
        <v>458</v>
      </c>
      <c r="E81" s="7" t="s">
        <v>498</v>
      </c>
      <c r="F81" s="8" t="s">
        <v>531</v>
      </c>
      <c r="G81" s="9">
        <v>36.484063399999997</v>
      </c>
      <c r="H81" s="9">
        <v>-4.9873922999999998</v>
      </c>
      <c r="I81" s="7" t="s">
        <v>532</v>
      </c>
      <c r="J81" s="7" t="s">
        <v>533</v>
      </c>
      <c r="K81" s="10" t="s">
        <v>534</v>
      </c>
      <c r="L81" s="11">
        <v>5</v>
      </c>
      <c r="M81" s="7">
        <v>3</v>
      </c>
      <c r="N81" s="12"/>
      <c r="O81" s="12">
        <v>225</v>
      </c>
      <c r="P81" s="13" t="s">
        <v>681</v>
      </c>
      <c r="Q81" s="24" t="s">
        <v>801</v>
      </c>
      <c r="R81" s="14"/>
    </row>
    <row r="82" spans="1:18" ht="26.4" x14ac:dyDescent="0.3">
      <c r="A82" s="7" t="s">
        <v>535</v>
      </c>
      <c r="B82" s="8" t="s">
        <v>536</v>
      </c>
      <c r="C82" s="7" t="s">
        <v>79</v>
      </c>
      <c r="D82" s="7" t="s">
        <v>458</v>
      </c>
      <c r="E82" s="7" t="s">
        <v>498</v>
      </c>
      <c r="F82" s="8" t="s">
        <v>537</v>
      </c>
      <c r="G82" s="9">
        <v>36.489513299999999</v>
      </c>
      <c r="H82" s="9">
        <v>-4.9861744000000003</v>
      </c>
      <c r="I82" s="7" t="s">
        <v>538</v>
      </c>
      <c r="J82" s="7" t="s">
        <v>539</v>
      </c>
      <c r="K82" s="10" t="s">
        <v>540</v>
      </c>
      <c r="L82" s="11">
        <v>5</v>
      </c>
      <c r="M82" s="7">
        <v>3</v>
      </c>
      <c r="N82" s="12"/>
      <c r="O82" s="12">
        <v>230</v>
      </c>
      <c r="P82" s="13" t="s">
        <v>695</v>
      </c>
      <c r="Q82" s="24" t="s">
        <v>803</v>
      </c>
      <c r="R82" s="14" t="s">
        <v>802</v>
      </c>
    </row>
    <row r="83" spans="1:18" ht="26.4" x14ac:dyDescent="0.3">
      <c r="A83" s="7" t="s">
        <v>541</v>
      </c>
      <c r="B83" s="8" t="s">
        <v>542</v>
      </c>
      <c r="C83" s="7" t="s">
        <v>79</v>
      </c>
      <c r="D83" s="7" t="s">
        <v>458</v>
      </c>
      <c r="E83" s="7" t="s">
        <v>543</v>
      </c>
      <c r="F83" s="8" t="s">
        <v>544</v>
      </c>
      <c r="G83" s="9">
        <v>36.467770899999998</v>
      </c>
      <c r="H83" s="9">
        <v>-5.0173532999999999</v>
      </c>
      <c r="I83" s="7" t="s">
        <v>545</v>
      </c>
      <c r="J83" s="7" t="s">
        <v>546</v>
      </c>
      <c r="K83" s="10" t="s">
        <v>547</v>
      </c>
      <c r="L83" s="11">
        <v>5</v>
      </c>
      <c r="M83" s="7">
        <v>38</v>
      </c>
      <c r="N83" s="12"/>
      <c r="O83" s="12">
        <v>515</v>
      </c>
      <c r="P83" s="13" t="s">
        <v>695</v>
      </c>
      <c r="Q83" s="24" t="s">
        <v>805</v>
      </c>
      <c r="R83" s="14" t="s">
        <v>804</v>
      </c>
    </row>
    <row r="84" spans="1:18" x14ac:dyDescent="0.3">
      <c r="A84" s="7" t="s">
        <v>548</v>
      </c>
      <c r="B84" s="8" t="s">
        <v>549</v>
      </c>
      <c r="C84" s="7" t="s">
        <v>79</v>
      </c>
      <c r="D84" s="7" t="s">
        <v>550</v>
      </c>
      <c r="E84" s="7" t="s">
        <v>551</v>
      </c>
      <c r="F84" s="8" t="s">
        <v>552</v>
      </c>
      <c r="G84" s="9">
        <v>36.4400367</v>
      </c>
      <c r="H84" s="9">
        <v>-5.1089045999999998</v>
      </c>
      <c r="I84" s="7" t="s">
        <v>553</v>
      </c>
      <c r="J84" s="7" t="s">
        <v>554</v>
      </c>
      <c r="K84" s="10" t="s">
        <v>555</v>
      </c>
      <c r="L84" s="11">
        <v>4.5999999999999996</v>
      </c>
      <c r="M84" s="7">
        <v>23</v>
      </c>
      <c r="N84" s="12">
        <v>2604</v>
      </c>
      <c r="O84" s="12"/>
      <c r="P84" s="13" t="s">
        <v>681</v>
      </c>
      <c r="Q84" s="24" t="s">
        <v>828</v>
      </c>
      <c r="R84" s="26" t="s">
        <v>827</v>
      </c>
    </row>
    <row r="85" spans="1:18" ht="26.4" x14ac:dyDescent="0.3">
      <c r="A85" s="7" t="s">
        <v>556</v>
      </c>
      <c r="B85" s="8" t="s">
        <v>557</v>
      </c>
      <c r="C85" s="7" t="s">
        <v>73</v>
      </c>
      <c r="D85" s="7" t="s">
        <v>550</v>
      </c>
      <c r="E85" s="7" t="s">
        <v>551</v>
      </c>
      <c r="F85" s="8" t="s">
        <v>558</v>
      </c>
      <c r="G85" s="9">
        <v>36.429047300000001</v>
      </c>
      <c r="H85" s="9">
        <v>-5.1497590999999998</v>
      </c>
      <c r="I85" s="7" t="s">
        <v>559</v>
      </c>
      <c r="J85" s="7" t="s">
        <v>560</v>
      </c>
      <c r="K85" s="10" t="s">
        <v>561</v>
      </c>
      <c r="L85" s="11">
        <v>4.8</v>
      </c>
      <c r="M85" s="7">
        <v>77</v>
      </c>
      <c r="N85" s="12"/>
      <c r="O85" s="12">
        <v>1609</v>
      </c>
      <c r="P85" s="13" t="s">
        <v>681</v>
      </c>
      <c r="Q85" s="24" t="s">
        <v>732</v>
      </c>
      <c r="R85" s="26" t="s">
        <v>733</v>
      </c>
    </row>
    <row r="86" spans="1:18" x14ac:dyDescent="0.3">
      <c r="A86" s="7" t="s">
        <v>562</v>
      </c>
      <c r="B86" s="8" t="s">
        <v>563</v>
      </c>
      <c r="C86" s="7" t="s">
        <v>79</v>
      </c>
      <c r="D86" s="7" t="s">
        <v>550</v>
      </c>
      <c r="E86" s="7" t="s">
        <v>551</v>
      </c>
      <c r="F86" s="8" t="s">
        <v>564</v>
      </c>
      <c r="G86" s="9">
        <v>36.425634500000001</v>
      </c>
      <c r="H86" s="9">
        <v>-5.1510261000000002</v>
      </c>
      <c r="I86" s="7" t="s">
        <v>565</v>
      </c>
      <c r="J86" s="7" t="s">
        <v>566</v>
      </c>
      <c r="K86" s="10" t="s">
        <v>567</v>
      </c>
      <c r="L86" s="11">
        <v>5</v>
      </c>
      <c r="M86" s="7">
        <v>1</v>
      </c>
      <c r="N86" s="12">
        <v>147</v>
      </c>
      <c r="O86" s="12"/>
      <c r="P86" s="13" t="s">
        <v>686</v>
      </c>
      <c r="Q86" s="24" t="s">
        <v>829</v>
      </c>
      <c r="R86" s="26" t="s">
        <v>820</v>
      </c>
    </row>
    <row r="87" spans="1:18" ht="26.4" x14ac:dyDescent="0.3">
      <c r="A87" s="7" t="s">
        <v>568</v>
      </c>
      <c r="B87" s="8" t="s">
        <v>569</v>
      </c>
      <c r="C87" s="7" t="s">
        <v>530</v>
      </c>
      <c r="D87" s="7" t="s">
        <v>550</v>
      </c>
      <c r="E87" s="7" t="s">
        <v>551</v>
      </c>
      <c r="F87" s="8" t="s">
        <v>570</v>
      </c>
      <c r="G87" s="9">
        <v>36.433257699999999</v>
      </c>
      <c r="H87" s="9">
        <v>-5.1439561999999999</v>
      </c>
      <c r="I87" s="7" t="s">
        <v>571</v>
      </c>
      <c r="J87" s="7" t="s">
        <v>533</v>
      </c>
      <c r="K87" s="10" t="s">
        <v>572</v>
      </c>
      <c r="L87" s="11">
        <v>5</v>
      </c>
      <c r="M87" s="7">
        <v>1</v>
      </c>
      <c r="N87" s="12"/>
      <c r="O87" s="12">
        <v>0</v>
      </c>
      <c r="P87" s="13" t="s">
        <v>695</v>
      </c>
      <c r="Q87" s="13"/>
      <c r="R87" s="26" t="s">
        <v>790</v>
      </c>
    </row>
    <row r="88" spans="1:18" ht="52.8" x14ac:dyDescent="0.3">
      <c r="A88" s="7" t="s">
        <v>573</v>
      </c>
      <c r="B88" s="8" t="s">
        <v>574</v>
      </c>
      <c r="C88" s="7" t="s">
        <v>79</v>
      </c>
      <c r="D88" s="7" t="s">
        <v>550</v>
      </c>
      <c r="E88" s="7" t="s">
        <v>551</v>
      </c>
      <c r="F88" s="8" t="s">
        <v>575</v>
      </c>
      <c r="G88" s="9">
        <v>36.4305807</v>
      </c>
      <c r="H88" s="9">
        <v>-5.1449302000000001</v>
      </c>
      <c r="I88" s="7" t="s">
        <v>576</v>
      </c>
      <c r="J88" s="7" t="s">
        <v>577</v>
      </c>
      <c r="K88" s="10" t="s">
        <v>578</v>
      </c>
      <c r="L88" s="11">
        <v>4.5</v>
      </c>
      <c r="M88" s="7">
        <v>33</v>
      </c>
      <c r="N88" s="12">
        <v>700</v>
      </c>
      <c r="O88" s="12"/>
      <c r="P88" s="13" t="s">
        <v>686</v>
      </c>
      <c r="Q88" s="24" t="s">
        <v>578</v>
      </c>
      <c r="R88" s="26" t="s">
        <v>830</v>
      </c>
    </row>
    <row r="89" spans="1:18" x14ac:dyDescent="0.3">
      <c r="A89" s="7" t="s">
        <v>579</v>
      </c>
      <c r="B89" s="8" t="s">
        <v>580</v>
      </c>
      <c r="C89" s="7" t="s">
        <v>79</v>
      </c>
      <c r="D89" s="7" t="s">
        <v>550</v>
      </c>
      <c r="E89" s="7" t="s">
        <v>551</v>
      </c>
      <c r="F89" s="8" t="s">
        <v>581</v>
      </c>
      <c r="G89" s="9">
        <v>36.429861899999999</v>
      </c>
      <c r="H89" s="9">
        <v>-5.1654774999999997</v>
      </c>
      <c r="I89" s="7" t="s">
        <v>582</v>
      </c>
      <c r="J89" s="7" t="s">
        <v>583</v>
      </c>
      <c r="K89" s="10" t="s">
        <v>584</v>
      </c>
      <c r="L89" s="11">
        <v>4.9000000000000004</v>
      </c>
      <c r="M89" s="7">
        <v>70</v>
      </c>
      <c r="N89" s="12"/>
      <c r="O89" s="12">
        <v>336</v>
      </c>
      <c r="P89" s="13" t="s">
        <v>681</v>
      </c>
      <c r="Q89" s="24" t="s">
        <v>831</v>
      </c>
      <c r="R89" s="26" t="s">
        <v>771</v>
      </c>
    </row>
    <row r="90" spans="1:18" x14ac:dyDescent="0.3">
      <c r="A90" s="7" t="s">
        <v>585</v>
      </c>
      <c r="B90" s="8" t="s">
        <v>586</v>
      </c>
      <c r="C90" s="7" t="s">
        <v>505</v>
      </c>
      <c r="D90" s="7" t="s">
        <v>550</v>
      </c>
      <c r="E90" s="7" t="s">
        <v>551</v>
      </c>
      <c r="F90" s="8" t="s">
        <v>587</v>
      </c>
      <c r="G90" s="9">
        <v>36.430192300000002</v>
      </c>
      <c r="H90" s="9">
        <v>-5.1671993000000001</v>
      </c>
      <c r="I90" s="7" t="s">
        <v>588</v>
      </c>
      <c r="J90" s="7" t="s">
        <v>508</v>
      </c>
      <c r="K90" s="10" t="s">
        <v>509</v>
      </c>
      <c r="L90" s="11">
        <v>5</v>
      </c>
      <c r="M90" s="7">
        <v>15</v>
      </c>
      <c r="N90" s="12"/>
      <c r="O90" s="12">
        <v>334</v>
      </c>
      <c r="P90" s="13" t="s">
        <v>681</v>
      </c>
      <c r="Q90" s="24" t="s">
        <v>708</v>
      </c>
      <c r="R90" s="14"/>
    </row>
    <row r="91" spans="1:18" x14ac:dyDescent="0.3">
      <c r="A91" s="7" t="s">
        <v>589</v>
      </c>
      <c r="B91" s="8" t="s">
        <v>590</v>
      </c>
      <c r="C91" s="7" t="s">
        <v>79</v>
      </c>
      <c r="D91" s="7" t="s">
        <v>550</v>
      </c>
      <c r="E91" s="7" t="s">
        <v>551</v>
      </c>
      <c r="F91" s="8" t="s">
        <v>591</v>
      </c>
      <c r="G91" s="9">
        <v>36.428404499999999</v>
      </c>
      <c r="H91" s="9">
        <v>-5.1684533999999998</v>
      </c>
      <c r="I91" s="7" t="s">
        <v>592</v>
      </c>
      <c r="J91" s="7" t="s">
        <v>593</v>
      </c>
      <c r="K91" s="10" t="s">
        <v>594</v>
      </c>
      <c r="L91" s="11">
        <v>5</v>
      </c>
      <c r="M91" s="7">
        <v>14</v>
      </c>
      <c r="N91" s="12"/>
      <c r="O91" s="12">
        <v>350</v>
      </c>
      <c r="P91" s="13" t="s">
        <v>681</v>
      </c>
      <c r="Q91" s="24" t="s">
        <v>832</v>
      </c>
      <c r="R91" s="26" t="s">
        <v>771</v>
      </c>
    </row>
    <row r="92" spans="1:18" x14ac:dyDescent="0.3">
      <c r="A92" s="7" t="s">
        <v>595</v>
      </c>
      <c r="B92" s="8" t="s">
        <v>596</v>
      </c>
      <c r="C92" s="7" t="s">
        <v>79</v>
      </c>
      <c r="D92" s="7" t="s">
        <v>550</v>
      </c>
      <c r="E92" s="7" t="s">
        <v>551</v>
      </c>
      <c r="F92" s="8" t="s">
        <v>597</v>
      </c>
      <c r="G92" s="9">
        <v>36.427261899999998</v>
      </c>
      <c r="H92" s="9">
        <v>-5.1703131000000004</v>
      </c>
      <c r="I92" s="7" t="s">
        <v>598</v>
      </c>
      <c r="J92" s="7" t="s">
        <v>599</v>
      </c>
      <c r="K92" s="10" t="s">
        <v>600</v>
      </c>
      <c r="L92" s="11">
        <v>4.8</v>
      </c>
      <c r="M92" s="7">
        <v>65</v>
      </c>
      <c r="N92" s="12"/>
      <c r="O92" s="12">
        <v>348</v>
      </c>
      <c r="P92" s="13" t="s">
        <v>681</v>
      </c>
      <c r="Q92" s="24" t="s">
        <v>833</v>
      </c>
      <c r="R92" s="26" t="s">
        <v>771</v>
      </c>
    </row>
    <row r="93" spans="1:18" x14ac:dyDescent="0.3">
      <c r="A93" s="7" t="s">
        <v>601</v>
      </c>
      <c r="B93" s="8" t="s">
        <v>602</v>
      </c>
      <c r="C93" s="7" t="s">
        <v>79</v>
      </c>
      <c r="D93" s="7" t="s">
        <v>603</v>
      </c>
      <c r="E93" s="7" t="s">
        <v>604</v>
      </c>
      <c r="F93" s="8" t="s">
        <v>605</v>
      </c>
      <c r="G93" s="9">
        <v>36.385450800000001</v>
      </c>
      <c r="H93" s="9">
        <v>-5.2577695999999996</v>
      </c>
      <c r="I93" s="7" t="s">
        <v>606</v>
      </c>
      <c r="J93" s="7" t="s">
        <v>607</v>
      </c>
      <c r="K93" s="10" t="s">
        <v>608</v>
      </c>
      <c r="L93" s="11">
        <v>5</v>
      </c>
      <c r="M93" s="7">
        <v>43</v>
      </c>
      <c r="N93" s="12"/>
      <c r="O93" s="12">
        <f>600*2</f>
        <v>1200</v>
      </c>
      <c r="P93" s="13" t="s">
        <v>681</v>
      </c>
      <c r="Q93" s="24" t="s">
        <v>880</v>
      </c>
      <c r="R93" s="26" t="s">
        <v>881</v>
      </c>
    </row>
    <row r="94" spans="1:18" x14ac:dyDescent="0.3">
      <c r="A94" s="7" t="s">
        <v>609</v>
      </c>
      <c r="B94" s="8" t="s">
        <v>610</v>
      </c>
      <c r="C94" s="7" t="s">
        <v>331</v>
      </c>
      <c r="D94" s="7" t="s">
        <v>603</v>
      </c>
      <c r="E94" s="7" t="s">
        <v>604</v>
      </c>
      <c r="F94" s="8" t="s">
        <v>611</v>
      </c>
      <c r="G94" s="9">
        <v>36.3844773</v>
      </c>
      <c r="H94" s="9">
        <v>-5.2587641999999999</v>
      </c>
      <c r="I94" s="7" t="s">
        <v>612</v>
      </c>
      <c r="J94" s="7" t="s">
        <v>613</v>
      </c>
      <c r="K94" s="10" t="s">
        <v>614</v>
      </c>
      <c r="L94" s="11">
        <v>4.4000000000000004</v>
      </c>
      <c r="M94" s="7">
        <v>21</v>
      </c>
      <c r="N94" s="12"/>
      <c r="O94" s="12">
        <f>600*3-40</f>
        <v>1760</v>
      </c>
      <c r="P94" s="13" t="s">
        <v>681</v>
      </c>
      <c r="Q94" s="24" t="s">
        <v>882</v>
      </c>
      <c r="R94" s="26" t="s">
        <v>883</v>
      </c>
    </row>
    <row r="95" spans="1:18" x14ac:dyDescent="0.3">
      <c r="A95" s="7" t="s">
        <v>615</v>
      </c>
      <c r="B95" s="8" t="s">
        <v>616</v>
      </c>
      <c r="C95" s="7" t="s">
        <v>79</v>
      </c>
      <c r="D95" s="7" t="s">
        <v>603</v>
      </c>
      <c r="E95" s="7" t="s">
        <v>604</v>
      </c>
      <c r="F95" s="8" t="s">
        <v>617</v>
      </c>
      <c r="G95" s="9">
        <v>36.386928400000002</v>
      </c>
      <c r="H95" s="9">
        <v>-5.2598798999999996</v>
      </c>
      <c r="I95" s="7" t="s">
        <v>618</v>
      </c>
      <c r="J95" s="7" t="s">
        <v>619</v>
      </c>
      <c r="K95" s="10" t="s">
        <v>620</v>
      </c>
      <c r="L95" s="11">
        <v>5</v>
      </c>
      <c r="M95" s="7">
        <v>22</v>
      </c>
      <c r="N95" s="12"/>
      <c r="O95" s="12">
        <v>300</v>
      </c>
      <c r="P95" s="13" t="s">
        <v>681</v>
      </c>
      <c r="Q95" s="24" t="s">
        <v>884</v>
      </c>
      <c r="R95" s="26" t="s">
        <v>841</v>
      </c>
    </row>
    <row r="96" spans="1:18" x14ac:dyDescent="0.3">
      <c r="A96" s="7" t="s">
        <v>621</v>
      </c>
      <c r="B96" s="8" t="s">
        <v>622</v>
      </c>
      <c r="C96" s="7" t="s">
        <v>79</v>
      </c>
      <c r="D96" s="7" t="s">
        <v>603</v>
      </c>
      <c r="E96" s="7" t="s">
        <v>623</v>
      </c>
      <c r="F96" s="8" t="s">
        <v>624</v>
      </c>
      <c r="G96" s="9">
        <v>36.362921800000002</v>
      </c>
      <c r="H96" s="9">
        <v>-5.2300861999999997</v>
      </c>
      <c r="I96" s="7" t="s">
        <v>625</v>
      </c>
      <c r="J96" s="7" t="s">
        <v>626</v>
      </c>
      <c r="K96" s="10" t="s">
        <v>627</v>
      </c>
      <c r="L96" s="11">
        <v>5</v>
      </c>
      <c r="M96" s="7">
        <v>33</v>
      </c>
      <c r="N96" s="12"/>
      <c r="O96" s="12">
        <v>114</v>
      </c>
      <c r="P96" s="13" t="s">
        <v>695</v>
      </c>
      <c r="Q96" s="24" t="s">
        <v>885</v>
      </c>
      <c r="R96" s="26" t="s">
        <v>886</v>
      </c>
    </row>
    <row r="97" spans="1:18" ht="26.4" x14ac:dyDescent="0.3">
      <c r="A97" s="7" t="s">
        <v>628</v>
      </c>
      <c r="B97" s="8" t="s">
        <v>629</v>
      </c>
      <c r="C97" s="7" t="s">
        <v>79</v>
      </c>
      <c r="D97" s="7" t="s">
        <v>603</v>
      </c>
      <c r="E97" s="7" t="s">
        <v>623</v>
      </c>
      <c r="F97" s="8" t="s">
        <v>630</v>
      </c>
      <c r="G97" s="9">
        <v>36.364318900000001</v>
      </c>
      <c r="H97" s="9">
        <v>-5.2283803999999998</v>
      </c>
      <c r="I97" s="7" t="s">
        <v>631</v>
      </c>
      <c r="J97" s="7" t="s">
        <v>632</v>
      </c>
      <c r="K97" s="10" t="s">
        <v>633</v>
      </c>
      <c r="L97" s="11">
        <v>4.5999999999999996</v>
      </c>
      <c r="M97" s="7">
        <v>12</v>
      </c>
      <c r="N97" s="12"/>
      <c r="O97" s="12">
        <v>239</v>
      </c>
      <c r="P97" s="13" t="s">
        <v>695</v>
      </c>
      <c r="Q97" s="24" t="s">
        <v>887</v>
      </c>
      <c r="R97" s="26" t="s">
        <v>888</v>
      </c>
    </row>
    <row r="98" spans="1:18" ht="26.4" x14ac:dyDescent="0.3">
      <c r="A98" s="7" t="s">
        <v>634</v>
      </c>
      <c r="B98" s="8" t="s">
        <v>635</v>
      </c>
      <c r="C98" s="7" t="s">
        <v>79</v>
      </c>
      <c r="D98" s="7" t="s">
        <v>636</v>
      </c>
      <c r="E98" s="7" t="s">
        <v>623</v>
      </c>
      <c r="F98" s="8" t="s">
        <v>637</v>
      </c>
      <c r="G98" s="9">
        <v>36.338833399999999</v>
      </c>
      <c r="H98" s="9">
        <v>-5.3134744999999999</v>
      </c>
      <c r="I98" s="7" t="s">
        <v>638</v>
      </c>
      <c r="J98" s="7" t="s">
        <v>639</v>
      </c>
      <c r="K98" s="10" t="s">
        <v>640</v>
      </c>
      <c r="L98" s="11">
        <v>4.5</v>
      </c>
      <c r="M98" s="7">
        <v>34</v>
      </c>
      <c r="N98" s="12"/>
      <c r="O98" s="12">
        <v>2276</v>
      </c>
      <c r="P98" s="13" t="s">
        <v>695</v>
      </c>
      <c r="Q98" s="24" t="s">
        <v>878</v>
      </c>
      <c r="R98" s="26" t="s">
        <v>879</v>
      </c>
    </row>
    <row r="99" spans="1:18" ht="26.4" x14ac:dyDescent="0.3">
      <c r="A99" s="7" t="s">
        <v>641</v>
      </c>
      <c r="B99" s="8" t="s">
        <v>642</v>
      </c>
      <c r="C99" s="7" t="s">
        <v>79</v>
      </c>
      <c r="D99" s="7" t="s">
        <v>643</v>
      </c>
      <c r="E99" s="7" t="s">
        <v>644</v>
      </c>
      <c r="F99" s="8" t="s">
        <v>645</v>
      </c>
      <c r="G99" s="9">
        <v>36.752398300000003</v>
      </c>
      <c r="H99" s="9">
        <v>-5.1501074999999998</v>
      </c>
      <c r="I99" s="7" t="s">
        <v>646</v>
      </c>
      <c r="J99" s="7" t="s">
        <v>647</v>
      </c>
      <c r="K99" s="10" t="s">
        <v>648</v>
      </c>
      <c r="L99" s="11">
        <v>4.8</v>
      </c>
      <c r="M99" s="7">
        <v>22</v>
      </c>
      <c r="N99" s="12"/>
      <c r="O99" s="12">
        <v>158</v>
      </c>
      <c r="P99" s="25" t="s">
        <v>695</v>
      </c>
      <c r="Q99" s="24" t="s">
        <v>889</v>
      </c>
      <c r="R99" s="14"/>
    </row>
    <row r="100" spans="1:18" ht="115.2" x14ac:dyDescent="0.3">
      <c r="A100" s="7" t="s">
        <v>649</v>
      </c>
      <c r="B100" s="8" t="s">
        <v>650</v>
      </c>
      <c r="C100" s="7" t="s">
        <v>79</v>
      </c>
      <c r="D100" s="7" t="s">
        <v>643</v>
      </c>
      <c r="E100" s="7" t="s">
        <v>644</v>
      </c>
      <c r="F100" s="8" t="s">
        <v>651</v>
      </c>
      <c r="G100" s="9">
        <v>36.743169899999998</v>
      </c>
      <c r="H100" s="9">
        <v>-5.1620847999999997</v>
      </c>
      <c r="I100" s="7" t="s">
        <v>652</v>
      </c>
      <c r="J100" s="7" t="s">
        <v>653</v>
      </c>
      <c r="K100" s="10" t="s">
        <v>654</v>
      </c>
      <c r="L100" s="11">
        <v>4.5</v>
      </c>
      <c r="M100" s="7">
        <v>11</v>
      </c>
      <c r="N100" s="12"/>
      <c r="O100" s="12">
        <v>1173</v>
      </c>
      <c r="P100" s="13" t="s">
        <v>695</v>
      </c>
      <c r="Q100" s="28" t="s">
        <v>890</v>
      </c>
      <c r="R100" s="26" t="s">
        <v>891</v>
      </c>
    </row>
  </sheetData>
  <dataValidations count="1">
    <dataValidation type="list" allowBlank="1" errorTitle="Invalid confidence" error="Pick one of: high, medium, low" sqref="P2:P100" xr:uid="{00000000-0002-0000-0100-000000000000}">
      <formula1>"high,medium,low"</formula1>
    </dataValidation>
  </dataValidations>
  <hyperlinks>
    <hyperlink ref="K2" r:id="rId1" xr:uid="{00000000-0004-0000-0100-000000000000}"/>
    <hyperlink ref="K3" r:id="rId2" xr:uid="{00000000-0004-0000-0100-000001000000}"/>
    <hyperlink ref="K4" r:id="rId3" xr:uid="{00000000-0004-0000-0100-000002000000}"/>
    <hyperlink ref="K6" r:id="rId4" xr:uid="{00000000-0004-0000-0100-000003000000}"/>
    <hyperlink ref="K7" r:id="rId5" xr:uid="{00000000-0004-0000-0100-000004000000}"/>
    <hyperlink ref="K9" r:id="rId6" xr:uid="{00000000-0004-0000-0100-000005000000}"/>
    <hyperlink ref="K10" r:id="rId7" xr:uid="{00000000-0004-0000-0100-000006000000}"/>
    <hyperlink ref="K11" r:id="rId8" xr:uid="{00000000-0004-0000-0100-000007000000}"/>
    <hyperlink ref="K12" r:id="rId9" xr:uid="{00000000-0004-0000-0100-000008000000}"/>
    <hyperlink ref="K13" r:id="rId10" xr:uid="{00000000-0004-0000-0100-000009000000}"/>
    <hyperlink ref="K14" r:id="rId11" xr:uid="{00000000-0004-0000-0100-00000A000000}"/>
    <hyperlink ref="K15" r:id="rId12" xr:uid="{00000000-0004-0000-0100-00000B000000}"/>
    <hyperlink ref="K16" r:id="rId13" xr:uid="{00000000-0004-0000-0100-00000C000000}"/>
    <hyperlink ref="K17" r:id="rId14" xr:uid="{00000000-0004-0000-0100-00000D000000}"/>
    <hyperlink ref="K18" r:id="rId15" xr:uid="{00000000-0004-0000-0100-00000E000000}"/>
    <hyperlink ref="K19" r:id="rId16" xr:uid="{00000000-0004-0000-0100-00000F000000}"/>
    <hyperlink ref="K20" r:id="rId17" xr:uid="{00000000-0004-0000-0100-000010000000}"/>
    <hyperlink ref="K21" r:id="rId18" xr:uid="{00000000-0004-0000-0100-000011000000}"/>
    <hyperlink ref="K22" r:id="rId19" xr:uid="{00000000-0004-0000-0100-000012000000}"/>
    <hyperlink ref="K23" r:id="rId20" xr:uid="{00000000-0004-0000-0100-000013000000}"/>
    <hyperlink ref="K24" r:id="rId21" xr:uid="{00000000-0004-0000-0100-000014000000}"/>
    <hyperlink ref="K25" r:id="rId22" xr:uid="{00000000-0004-0000-0100-000015000000}"/>
    <hyperlink ref="K26" r:id="rId23" xr:uid="{00000000-0004-0000-0100-000016000000}"/>
    <hyperlink ref="K27" r:id="rId24" xr:uid="{00000000-0004-0000-0100-000017000000}"/>
    <hyperlink ref="K28" r:id="rId25" xr:uid="{00000000-0004-0000-0100-000018000000}"/>
    <hyperlink ref="K29" r:id="rId26" xr:uid="{00000000-0004-0000-0100-000019000000}"/>
    <hyperlink ref="K31" r:id="rId27" xr:uid="{00000000-0004-0000-0100-00001A000000}"/>
    <hyperlink ref="K32" r:id="rId28" xr:uid="{00000000-0004-0000-0100-00001B000000}"/>
    <hyperlink ref="K34" r:id="rId29" xr:uid="{00000000-0004-0000-0100-00001C000000}"/>
    <hyperlink ref="K35" r:id="rId30" xr:uid="{00000000-0004-0000-0100-00001D000000}"/>
    <hyperlink ref="K36" r:id="rId31" xr:uid="{00000000-0004-0000-0100-00001E000000}"/>
    <hyperlink ref="K37" r:id="rId32" xr:uid="{00000000-0004-0000-0100-00001F000000}"/>
    <hyperlink ref="K38" r:id="rId33" xr:uid="{00000000-0004-0000-0100-000020000000}"/>
    <hyperlink ref="K39" r:id="rId34" xr:uid="{00000000-0004-0000-0100-000021000000}"/>
    <hyperlink ref="K40" r:id="rId35" xr:uid="{00000000-0004-0000-0100-000022000000}"/>
    <hyperlink ref="K41" r:id="rId36" xr:uid="{00000000-0004-0000-0100-000023000000}"/>
    <hyperlink ref="K42" r:id="rId37" xr:uid="{00000000-0004-0000-0100-000024000000}"/>
    <hyperlink ref="K43" r:id="rId38" xr:uid="{00000000-0004-0000-0100-000025000000}"/>
    <hyperlink ref="K44" r:id="rId39" xr:uid="{00000000-0004-0000-0100-000026000000}"/>
    <hyperlink ref="K45" r:id="rId40" xr:uid="{00000000-0004-0000-0100-000027000000}"/>
    <hyperlink ref="K47" r:id="rId41" xr:uid="{00000000-0004-0000-0100-000028000000}"/>
    <hyperlink ref="K48" r:id="rId42" xr:uid="{00000000-0004-0000-0100-000029000000}"/>
    <hyperlink ref="K49" r:id="rId43" xr:uid="{00000000-0004-0000-0100-00002A000000}"/>
    <hyperlink ref="K50" r:id="rId44" xr:uid="{00000000-0004-0000-0100-00002B000000}"/>
    <hyperlink ref="K52" r:id="rId45" xr:uid="{00000000-0004-0000-0100-00002C000000}"/>
    <hyperlink ref="K53" r:id="rId46" xr:uid="{00000000-0004-0000-0100-00002D000000}"/>
    <hyperlink ref="K54" r:id="rId47" xr:uid="{00000000-0004-0000-0100-00002E000000}"/>
    <hyperlink ref="K57" r:id="rId48" xr:uid="{00000000-0004-0000-0100-00002F000000}"/>
    <hyperlink ref="K60" r:id="rId49" xr:uid="{00000000-0004-0000-0100-000030000000}"/>
    <hyperlink ref="K61" r:id="rId50" xr:uid="{00000000-0004-0000-0100-000031000000}"/>
    <hyperlink ref="K63" r:id="rId51" xr:uid="{00000000-0004-0000-0100-000032000000}"/>
    <hyperlink ref="K65" r:id="rId52" xr:uid="{00000000-0004-0000-0100-000033000000}"/>
    <hyperlink ref="K67" r:id="rId53" xr:uid="{00000000-0004-0000-0100-000034000000}"/>
    <hyperlink ref="K68" r:id="rId54" xr:uid="{00000000-0004-0000-0100-000035000000}"/>
    <hyperlink ref="K70" r:id="rId55" xr:uid="{00000000-0004-0000-0100-000036000000}"/>
    <hyperlink ref="K71" r:id="rId56" xr:uid="{00000000-0004-0000-0100-000037000000}"/>
    <hyperlink ref="K72" r:id="rId57" xr:uid="{00000000-0004-0000-0100-000038000000}"/>
    <hyperlink ref="K73" r:id="rId58" xr:uid="{00000000-0004-0000-0100-000039000000}"/>
    <hyperlink ref="K74" r:id="rId59" xr:uid="{00000000-0004-0000-0100-00003A000000}"/>
    <hyperlink ref="K75" r:id="rId60" xr:uid="{00000000-0004-0000-0100-00003B000000}"/>
    <hyperlink ref="K76" r:id="rId61" xr:uid="{00000000-0004-0000-0100-00003C000000}"/>
    <hyperlink ref="K77" r:id="rId62" xr:uid="{00000000-0004-0000-0100-00003D000000}"/>
    <hyperlink ref="K78" r:id="rId63" xr:uid="{00000000-0004-0000-0100-00003E000000}"/>
    <hyperlink ref="K79" r:id="rId64" xr:uid="{00000000-0004-0000-0100-00003F000000}"/>
    <hyperlink ref="K80" r:id="rId65" xr:uid="{00000000-0004-0000-0100-000040000000}"/>
    <hyperlink ref="K81" r:id="rId66" xr:uid="{00000000-0004-0000-0100-000041000000}"/>
    <hyperlink ref="K82" r:id="rId67" xr:uid="{00000000-0004-0000-0100-000042000000}"/>
    <hyperlink ref="K83" r:id="rId68" xr:uid="{00000000-0004-0000-0100-000043000000}"/>
    <hyperlink ref="K84" r:id="rId69" xr:uid="{00000000-0004-0000-0100-000044000000}"/>
    <hyperlink ref="K85" r:id="rId70" xr:uid="{00000000-0004-0000-0100-000045000000}"/>
    <hyperlink ref="K86" r:id="rId71" xr:uid="{00000000-0004-0000-0100-000046000000}"/>
    <hyperlink ref="K87" r:id="rId72" xr:uid="{00000000-0004-0000-0100-000047000000}"/>
    <hyperlink ref="K88" r:id="rId73" xr:uid="{00000000-0004-0000-0100-000048000000}"/>
    <hyperlink ref="K89" r:id="rId74" xr:uid="{00000000-0004-0000-0100-000049000000}"/>
    <hyperlink ref="K90" r:id="rId75" xr:uid="{00000000-0004-0000-0100-00004A000000}"/>
    <hyperlink ref="K91" r:id="rId76" xr:uid="{00000000-0004-0000-0100-00004B000000}"/>
    <hyperlink ref="K92" r:id="rId77" xr:uid="{00000000-0004-0000-0100-00004C000000}"/>
    <hyperlink ref="K93" r:id="rId78" xr:uid="{00000000-0004-0000-0100-00004D000000}"/>
    <hyperlink ref="K94" r:id="rId79" xr:uid="{00000000-0004-0000-0100-00004E000000}"/>
    <hyperlink ref="K95" r:id="rId80" xr:uid="{00000000-0004-0000-0100-00004F000000}"/>
    <hyperlink ref="K96" r:id="rId81" xr:uid="{00000000-0004-0000-0100-000050000000}"/>
    <hyperlink ref="K97" r:id="rId82" xr:uid="{00000000-0004-0000-0100-000051000000}"/>
    <hyperlink ref="K98" r:id="rId83" xr:uid="{00000000-0004-0000-0100-000052000000}"/>
    <hyperlink ref="K99" r:id="rId84" xr:uid="{00000000-0004-0000-0100-000053000000}"/>
    <hyperlink ref="K100" r:id="rId85" xr:uid="{00000000-0004-0000-0100-000054000000}"/>
    <hyperlink ref="Q2" r:id="rId86" display="https://www1.sedecatastro.gob.es/CYCBienInmueble/OVCListaBienes.aspx?via=VIRGEN@DE@FATIMA&amp;tipoVia=CL&amp;numero=1&amp;kilometro=&amp;bloque=&amp;escalera=&amp;planta=&amp;puerta=&amp;DescProv=MALAGA&amp;prov=29&amp;muni=70&amp;DescMuni=MIJAS&amp;TipUR=U&amp;codvia=429&amp;comVia=VIRGEN%20DE%20FATIMA%20(CALLE)&amp;pest=urbana&amp;from=OVCBusqueda&amp;nomusu=%20&amp;tipousu=&amp;ZV=NO&amp;ZR=NO&amp;anyoZV=&amp;tematicos=&amp;anyotem=&amp;historica=&amp;coordinadas=&amp;antecedentes=" xr:uid="{3647839B-971F-450B-85CA-33569B696555}"/>
    <hyperlink ref="Q11" r:id="rId87" xr:uid="{158AC124-CBA1-4D78-95C3-ADA85936E5A3}"/>
    <hyperlink ref="Q27" r:id="rId88" display="https://www1.sedecatastro.gob.es/Cartografia/mapa.aspx?via=SAN@MILLAN&amp;tipoVia=CL&amp;numero=15&amp;kilometro=&amp;bloque=&amp;escalera=&amp;planta=&amp;puerta=&amp;DescProv=MALAGA&amp;prov=29&amp;muni=900&amp;DescMuni=MALAGA&amp;TipUR=U&amp;codvia=1188&amp;comVia=SAN%20MILLAN%20(CALLE)&amp;pest=urbana&amp;from=OVCBusqueda&amp;nomusu=%20&amp;tipousu=&amp;ZV=NO&amp;ZR=NO&amp;anyoZV=&amp;tematicos=&amp;anyotem=&amp;historica=&amp;coordinadas=&amp;antecedentes=&amp;cartografia=True&amp;ListaBienes=TRUE" xr:uid="{DA80E381-B38A-4E53-AB48-74F3D504951D}"/>
    <hyperlink ref="Q28" r:id="rId89" display="https://www1.sedecatastro.gob.es/CYCBienInmueble/OVCListaBienes.aspx?via=SAN@MILLAN&amp;tipoVia=CL&amp;numero=5&amp;kilometro=&amp;bloque=&amp;escalera=&amp;planta=&amp;puerta=&amp;DescProv=MALAGA&amp;prov=29&amp;muni=900&amp;DescMuni=MALAGA&amp;TipUR=U&amp;codvia=1188&amp;comVia=SAN%20MILLAN%20(CALLE)&amp;pest=urbana&amp;from=OVCBusqueda&amp;nomusu=%20&amp;tipousu=&amp;ZV=NO&amp;ZR=NO&amp;anyoZV=&amp;tematicos=&amp;anyotem=&amp;historica=&amp;coordinadas=&amp;antecedentes=" xr:uid="{F868B1FF-9C04-41B3-AE49-847612B4EFA7}"/>
    <hyperlink ref="Q29" r:id="rId90" display="https://www1.sedecatastro.gob.es/CYCBienInmueble/OVCConCiud.aspx?UrbRus=U&amp;RefC=0520224UF7602S0001JG&amp;RCCompleta=&amp;via=GUINDOS@LOS&amp;tipoVia=AV&amp;numero=17&amp;kilometro=&amp;bloque=&amp;escalera=&amp;planta=&amp;puerta=&amp;DescProv=MALAGA&amp;prov=29&amp;muni=900&amp;DescMuni=MALAGA&amp;TipUR=U&amp;codvia=4590&amp;comVia=GUINDOS%20LOS%20(AVENIDA,%20AVINGUDA)&amp;pest=urbana&amp;from=OVCBusqueda&amp;del=29&amp;mun=900" xr:uid="{D90C38DF-31CD-4004-ADED-69C3E0FFA401}"/>
    <hyperlink ref="Q44" r:id="rId91" display="https://www1.sedecatastro.gob.es/CYCBienInmueble/OVCListaBienes.aspx?via=RIO@GARGALIGA&amp;tipoVia=CL&amp;numero=2&amp;kilometro=&amp;bloque=&amp;escalera=&amp;planta=&amp;puerta=&amp;DescProv=MALAGA&amp;prov=29&amp;muni=900&amp;DescMuni=MALAGA&amp;TipUR=U&amp;codvia=3673&amp;comVia=RIO%20GARGALIGA%20(CALLE)&amp;pest=urbana&amp;from=OVCBusqueda&amp;nomusu=%20&amp;tipousu=&amp;ZV=NO&amp;ZR=NO&amp;anyoZV=&amp;tematicos=&amp;anyotem=&amp;historica=&amp;coordinadas=&amp;antecedentes=" xr:uid="{024CF023-F5CB-4796-A761-8394CB3E0F0A}"/>
    <hyperlink ref="Q54" r:id="rId92" display="https://www1.sedecatastro.gob.es/CYCBienInmueble/OVCListaBienes.aspx?RC1=2785701&amp;RC2=UF4528N&amp;RC3=&amp;RC4=&amp;esBice=&amp;RCBice1=&amp;RCBice2=&amp;DenoBice=&amp;pest=rc&amp;final=&amp;RCCompleta=2785701UF4528N&amp;from=OVCBusqueda&amp;tipoCarto=nuevo&amp;ZV=NO&amp;ZR=NO&amp;anyoZV=&amp;strFechaVR=&amp;tematicos=&amp;anyotem=&amp;historica=&amp;coordinadas=&amp;antecedentes=" xr:uid="{4687EF3F-4A65-4D7F-B8C3-2F896B842AF9}"/>
    <hyperlink ref="Q38" r:id="rId93" display="https://www1.sedecatastro.gob.es/CYCBienInmueble/OVCConCiud.aspx?UrbRus=U&amp;RefC=7741115UF6674S0001JL&amp;RCCompleta=2785701UF4528N&amp;via=TER&amp;tipoVia=CL&amp;numero=36&amp;kilometro=&amp;bloque=&amp;escalera=&amp;planta=&amp;puerta=&amp;DescProv=MALAGA&amp;prov=29&amp;muni=900&amp;DescMuni=MALAGA&amp;TipUR=U&amp;codvia=2784&amp;comVia=TER%20(CALLE)&amp;pest=urbana&amp;from=OVCBusqueda&amp;del=29&amp;mun=900" xr:uid="{52226D24-F756-4309-AC38-951ADB9389BD}"/>
    <hyperlink ref="Q41" r:id="rId94" display="https://www1.sedecatastro.gob.es/Cartografia/mapa.aspx?pest=urbana&amp;from=OVCBusqueda&amp;ZV=NO&amp;ZR=NO&amp;anyoZV=&amp;tematicos=&amp;anyotem=&amp;historica=&amp;coordinadas=&amp;antecedentes=&amp;RCCompleta=&amp;via=ALFREDO%20CORROCHANO&amp;tipoVia=CL&amp;numero=&amp;kilometro=&amp;bloque=&amp;escalera=&amp;planta=&amp;puerta=&amp;DescProv=MALAGA&amp;prov=29&amp;muni=900&amp;DescMuni=MALAGA&amp;TipUR=U&amp;codvia=4695&amp;comVia=ALFREDO%20CORROCHANO%20(CALLE)&amp;tc=U&amp;del=29&amp;mun=900" xr:uid="{8BCDFDAC-781F-4D5C-A883-54D91480E953}"/>
    <hyperlink ref="Q17" r:id="rId95" display="https://www1.sedecatastro.gob.es/CYCBienInmueble/OVCListaBienes.aspx?RC1=3512302&amp;RC2=UF6531S&amp;RC3=&amp;RC4=&amp;esBice=&amp;RCBice1=&amp;RCBice2=&amp;DenoBice=&amp;pest=rc&amp;final=&amp;RCCompleta=3512302UF6531S&amp;from=OVCBusqueda&amp;tipoCarto=nuevo&amp;ZV=NO&amp;ZR=NO&amp;anyoZV=&amp;strFechaVR=&amp;tematicos=&amp;anyotem=&amp;historica=&amp;coordinadas=&amp;antecedentes=" xr:uid="{99A8BE5C-78AD-4EFA-896F-E014523559EA}"/>
    <hyperlink ref="Q18" r:id="rId96" display="https://www1.sedecatastro.gob.es/CYCBienInmueble/OVCListaBienes.aspx?RC1=7602309&amp;RC2=UF5570S&amp;RC3=&amp;RC4=&amp;esBice=&amp;RCBice1=&amp;RCBice2=&amp;DenoBice=&amp;pest=rc&amp;final=&amp;RCCompleta=7602309UF5570S&amp;from=OVCBusqueda&amp;tipoCarto=nuevo&amp;ZV=NO&amp;ZR=NO&amp;anyoZV=&amp;strFechaVR=&amp;tematicos=&amp;anyotem=&amp;historica=&amp;coordinadas=&amp;antecedentes=" xr:uid="{72D96254-B377-4F4A-A3BB-B0D798C35577}"/>
    <hyperlink ref="Q78" r:id="rId97" display="https://www1.sedecatastro.gob.es/CYCBienInmueble/OVCListaBienes.aspx?RC1=1411601&amp;RC2=UF2411S&amp;RC3=&amp;RC4=&amp;esBice=&amp;RCBice1=&amp;RCBice2=&amp;DenoBice=&amp;pest=rc&amp;final=&amp;RCCompleta=1411601UF2411S&amp;from=OVCBusqueda&amp;tipoCarto=nuevo&amp;ZV=NO&amp;ZR=NO&amp;anyoZV=&amp;strFechaVR=&amp;tematicos=&amp;anyotem=&amp;historica=&amp;coordinadas=&amp;antecedentes=" xr:uid="{49CC5C42-8431-4914-87EA-0F36B269D4A3}"/>
    <hyperlink ref="Q77" r:id="rId98" display="https://www1.sedecatastro.gob.es/CYCBienInmueble/OVCListaBienes.aspx?RC1=1611601&amp;RC2=UF2411S&amp;RC3=&amp;RC4=&amp;esBice=&amp;RCBice1=&amp;RCBice2=&amp;DenoBice=&amp;pest=rc&amp;final=&amp;RCCompleta=1611601UF2411S&amp;from=OVCBusqueda&amp;tipoCarto=nuevo&amp;ZV=NO&amp;ZR=NO&amp;anyoZV=&amp;strFechaVR=&amp;tematicos=&amp;anyotem=&amp;historica=&amp;coordinadas=&amp;antecedentes=" xr:uid="{0AC29252-77B3-426C-8D58-2DAFE682AE4B}"/>
    <hyperlink ref="Q90" r:id="rId99" xr:uid="{C3902CD2-60A1-4386-9EEE-9880A2C4533F}"/>
    <hyperlink ref="Q10" r:id="rId100" display="https://www1.sedecatastro.gob.es/CYCBienInmueble/OVCListaBienes.aspx?RC1=5023301&amp;RC2=UF6552S&amp;RC3=&amp;RC4=&amp;esBice=&amp;RCBice1=&amp;RCBice2=&amp;DenoBice=&amp;pest=rc&amp;final=&amp;RCCompleta=5023301UF6552S&amp;from=OVCBusqueda&amp;tipoCarto=nuevo&amp;ZV=NO&amp;ZR=NO&amp;anyoZV=&amp;strFechaVR=&amp;tematicos=&amp;anyotem=&amp;historica=&amp;coordinadas=&amp;antecedentes=" xr:uid="{C13C3A2A-35DB-4AFE-BE99-43B2D12F5BC4}"/>
    <hyperlink ref="Q26" r:id="rId101" display="https://www1.sedecatastro.gob.es/Cartografia/mapa.aspx?del=29&amp;mun=900&amp;refcat=0634112UF7603S&amp;Xcentro=370610.667201569&amp;Ycentro=4063284.06911697&amp;from=OVCBusqueda&amp;final=&amp;pest=coordenadas&amp;latitud=36.7064281&amp;longitud=-4.4486089&amp;gradoslat=&amp;minlat=&amp;seglat=&amp;gradoslon=&amp;minlon=&amp;seglon=&amp;x=&amp;y=&amp;huso=0&amp;tipoCoordenadas=2&amp;ZV=NO&amp;ZR=NO&amp;anyoZV=&amp;tematicos=&amp;anyotem=&amp;historica=&amp;coordinadas=&amp;antecedentes=" xr:uid="{A7F8AFDA-C03E-4D81-A8DF-77A4930F607B}"/>
    <hyperlink ref="Q37" r:id="rId102" display="https://www1.sedecatastro.gob.es/CYCBienInmueble/OVCListaBienes.aspx?RC1=1757114&amp;RC2=UF7615N&amp;RC3=&amp;RC4=&amp;esBice=&amp;RCBice1=&amp;RCBice2=&amp;DenoBice=&amp;pest=rc&amp;final=&amp;RCCompleta=1757114UF7615N&amp;from=OVCBusqueda&amp;tipoCarto=nuevo&amp;ZV=NO&amp;ZR=NO&amp;anyoZV=&amp;strFechaVR=&amp;tematicos=&amp;anyotem=&amp;historica=&amp;coordinadas=&amp;antecedentes=" xr:uid="{EB0CE752-2A50-4295-B0C6-CCE0BDEC364D}"/>
    <hyperlink ref="Q42" r:id="rId103" xr:uid="{F2E08883-4A74-45D6-B6E8-7A4B5BF157FA}"/>
    <hyperlink ref="Q47" r:id="rId104" xr:uid="{71F70914-505E-4CD3-8077-24C9A33785BC}"/>
    <hyperlink ref="Q48" r:id="rId105" xr:uid="{4E8AF96E-4A98-474B-AB9A-D8F3916CAE6A}"/>
    <hyperlink ref="Q4" r:id="rId106" xr:uid="{CF703580-164B-4000-BD66-C396BF8B9CDC}"/>
    <hyperlink ref="Q21" r:id="rId107" xr:uid="{97CBE8DF-09AC-495D-88FF-97955A5227EF}"/>
    <hyperlink ref="Q22" r:id="rId108" xr:uid="{D68262D9-6E53-4A2C-A570-B7F34CEC926B}"/>
    <hyperlink ref="Q23" r:id="rId109" display="https://www1.sedecatastro.gob.es/CYCBienInmueble/OVCListaBienes.aspx?RC1=5235119&amp;RC2=UF6653N&amp;RC3=&amp;RC4=&amp;esBice=&amp;RCBice1=&amp;RCBice2=&amp;DenoBice=&amp;pest=rc&amp;final=&amp;RCCompleta=5235119UF6653N&amp;from=OVCBusqueda&amp;tipoCarto=nuevo&amp;ZV=NO&amp;ZR=NO&amp;anyoZV=&amp;strFechaVR=&amp;tematicos=&amp;anyotem=&amp;historica=&amp;coordinadas=&amp;antecedentes=" xr:uid="{4B8C4AC2-0A9D-4C9E-88B9-5EDC0E425BEF}"/>
    <hyperlink ref="Q73" r:id="rId110" display="https://www1.sedecatastro.gob.es/CYCBienInmueble/OVCListaBienes.aspx?RC1=2525128&amp;RC2=UF3422N&amp;RC3=&amp;RC4=&amp;esBice=&amp;RCBice1=&amp;RCBice2=&amp;DenoBice=&amp;pest=rc&amp;final=&amp;RCCompleta=2525128UF3422N&amp;from=OVCBusqueda&amp;tipoCarto=nuevo&amp;ZV=NO&amp;ZR=NO&amp;anyoZV=&amp;strFechaVR=&amp;tematicos=&amp;anyotem=&amp;historica=&amp;coordinadas=&amp;antecedentes=" xr:uid="{D6E726CF-6312-4B41-AB8D-0379B9E1F3B7}"/>
    <hyperlink ref="Q85" r:id="rId111" display="https://www1.sedecatastro.gob.es/CYCBienInmueble/OVCListaBienes.aspx?RC1=7438202&amp;RC2=UF0373N&amp;RC3=&amp;RC4=&amp;esBice=&amp;RCBice1=&amp;RCBice2=&amp;DenoBice=&amp;pest=rc&amp;final=&amp;RCCompleta=7438202UF0373N&amp;from=OVCBusqueda&amp;tipoCarto=nuevo&amp;ZV=NO&amp;ZR=NO&amp;anyoZV=&amp;strFechaVR=&amp;tematicos=&amp;anyotem=&amp;historica=&amp;coordinadas=&amp;antecedentes=" xr:uid="{52CF3424-4D84-4F20-A1DB-C95448743B02}"/>
    <hyperlink ref="Q24" r:id="rId112" xr:uid="{9CDF8780-96C5-40DE-B601-DB340E038B02}"/>
    <hyperlink ref="Q25" r:id="rId113" xr:uid="{97064124-C7C2-49BB-BE78-77570F4B89D4}"/>
    <hyperlink ref="Q30" r:id="rId114" display="https://www1.sedecatastro.gob.es/CYCBienInmueble/OVCListaBienes.aspx?RC1=1953116&amp;RC2=UF7615S&amp;RC3=&amp;RC4=&amp;esBice=&amp;RCBice1=&amp;RCBice2=&amp;DenoBice=&amp;pest=rc&amp;final=&amp;RCCompleta=1953116UF7615S&amp;from=OVCBusqueda&amp;tipoCarto=nuevo&amp;ZV=NO&amp;ZR=NO&amp;anyoZV=&amp;strFechaVR=&amp;tematicos=&amp;anyotem=&amp;historica=&amp;coordinadas=&amp;antecedentes=" xr:uid="{6479F3BB-2604-415B-9A11-C2174DCB416E}"/>
    <hyperlink ref="Q32" r:id="rId115" display="https://www1.sedecatastro.gob.es/CYCBienInmueble/OVCListaBienes.aspx?RC1=2341101&amp;RC2=UF7624S&amp;RC3=&amp;RC4=&amp;esBice=&amp;RCBice1=&amp;RCBice2=&amp;DenoBice=&amp;pest=rc&amp;final=&amp;RCCompleta=2341101UF7624S&amp;from=OVCBusqueda&amp;tipoCarto=nuevo&amp;ZV=NO&amp;ZR=NO&amp;anyoZV=&amp;strFechaVR=&amp;tematicos=&amp;anyotem=&amp;historica=&amp;coordinadas=&amp;antecedentes=" xr:uid="{E1F21067-48EA-4FCD-B2E5-5A8901F54B2A}"/>
    <hyperlink ref="Q33" r:id="rId116" display="https://www1.sedecatastro.gob.es/CYCBienInmueble/OVCListaBienes.aspx?RC1=1157701&amp;RC2=UF7615N&amp;RC3=&amp;RC4=&amp;esBice=&amp;RCBice1=&amp;RCBice2=&amp;DenoBice=&amp;pest=rc&amp;final=&amp;RCCompleta=1157701UF7615N&amp;from=OVCBusqueda&amp;tipoCarto=nuevo&amp;ZV=NO&amp;ZR=NO&amp;anyoZV=&amp;strFechaVR=&amp;tematicos=&amp;anyotem=&amp;historica=&amp;coordinadas=&amp;antecedentes=" xr:uid="{72DC8C9D-00DB-4C07-B24F-9B00B5C88D14}"/>
    <hyperlink ref="Q34" r:id="rId117" xr:uid="{0FFBDB08-A8CA-461C-938E-CBCF94C234B0}"/>
    <hyperlink ref="Q35" r:id="rId118" display="https://www1.sedecatastro.gob.es/CYCBienInmueble/OVCListaBienes.aspx?RC1=3759103&amp;RC2=UF7635N&amp;RC3=&amp;RC4=&amp;esBice=&amp;RCBice1=&amp;RCBice2=&amp;DenoBice=&amp;pest=rc&amp;final=&amp;RCCompleta=3759103UF7635N&amp;from=OVCBusqueda&amp;tipoCarto=nuevo&amp;ZV=NO&amp;ZR=NO&amp;anyoZV=&amp;strFechaVR=&amp;tematicos=&amp;anyotem=&amp;historica=&amp;coordinadas=&amp;antecedentes=" xr:uid="{87133047-2E71-4A56-92A7-0018047EEA3D}"/>
    <hyperlink ref="Q36" r:id="rId119" display="https://www1.sedecatastro.gob.es/CYCBienInmueble/OVCListaBienes.aspx?RC1=1859147&amp;RC2=UF7615N&amp;RC3=&amp;RC4=&amp;esBice=&amp;RCBice1=&amp;RCBice2=&amp;DenoBice=&amp;pest=rc&amp;final=&amp;RCCompleta=1859147UF7615N&amp;from=OVCBusqueda&amp;tipoCarto=nuevo&amp;ZV=NO&amp;ZR=NO&amp;anyoZV=&amp;strFechaVR=&amp;tematicos=&amp;anyotem=&amp;historica=&amp;coordinadas=&amp;antecedentes=" xr:uid="{24C8A1C6-8971-484B-A58D-C647EFB4CFE4}"/>
    <hyperlink ref="Q39" r:id="rId120" display="https://www1.sedecatastro.gob.es/CYCBienInmueble/OVCListaBienes.aspx?RC1=2443106&amp;RC2=UF7624S&amp;RC3=&amp;RC4=&amp;esBice=&amp;RCBice1=&amp;RCBice2=&amp;DenoBice=&amp;pest=rc&amp;final=&amp;RCCompleta=2443106UF7624S&amp;from=OVCBusqueda&amp;tipoCarto=nuevo&amp;ZV=NO&amp;ZR=NO&amp;anyoZV=&amp;strFechaVR=&amp;tematicos=&amp;anyotem=&amp;historica=&amp;coordinadas=&amp;antecedentes=" xr:uid="{6EC59099-03AE-4E75-A58E-883DA7B1B6D5}"/>
    <hyperlink ref="Q40" r:id="rId121" xr:uid="{C3F9231F-1E9F-46BD-891E-B754344B4F0F}"/>
    <hyperlink ref="Q43" r:id="rId122" xr:uid="{2E056582-A2B1-4E5D-A583-36E3158505F4}"/>
    <hyperlink ref="Q45" r:id="rId123" xr:uid="{477018A5-B834-4B6D-86A7-39762D11F779}"/>
    <hyperlink ref="Q46" r:id="rId124" display="https://www1.sedecatastro.gob.es/CYCBienInmueble/OVCListaBienes.aspx?RC1=9149902&amp;RC2=UF7694N&amp;RC3=&amp;RC4=&amp;esBice=&amp;RCBice1=&amp;RCBice2=&amp;DenoBice=&amp;pest=rc&amp;final=&amp;RCCompleta=9149902UF7694N&amp;from=OVCBusqueda&amp;tipoCarto=nuevo&amp;ZV=NO&amp;ZR=NO&amp;anyoZV=&amp;strFechaVR=&amp;tematicos=&amp;anyotem=&amp;historica=&amp;coordinadas=&amp;antecedentes=" xr:uid="{81855D4B-BEC2-4B2D-9EC9-FCF51A8C99DA}"/>
    <hyperlink ref="Q60" r:id="rId125" xr:uid="{4A568C5E-BCD6-4DF7-A092-E5472E291121}"/>
    <hyperlink ref="Q61" r:id="rId126" display="https://www1.sedecatastro.gob.es/CYCBienInmueble/OVCListaBienes.aspx?RC1=1805102&amp;RC2=VF0710N&amp;RC3=&amp;RC4=&amp;esBice=&amp;RCBice1=&amp;RCBice2=&amp;DenoBice=&amp;pest=rc&amp;final=&amp;RCCompleta=1805102VF0710N&amp;from=OVCBusqueda&amp;tipoCarto=nuevo&amp;ZV=NO&amp;ZR=NO&amp;anyoZV=&amp;strFechaVR=&amp;tematicos=&amp;anyotem=&amp;historica=&amp;coordinadas=&amp;antecedentes=" xr:uid="{9DD451FE-1753-41A7-AEE6-7AE2E35E6422}"/>
    <hyperlink ref="Q62" r:id="rId127" display="https://www1.sedecatastro.gob.es/CYCBienInmueble/OVCListaBienes.aspx?RC1=1909614&amp;RC2=VF0720N&amp;RC3=&amp;RC4=&amp;esBice=&amp;RCBice1=&amp;RCBice2=&amp;DenoBice=&amp;pest=rc&amp;final=&amp;RCCompleta=1909614VF0720N&amp;from=OVCBusqueda&amp;tipoCarto=nuevo&amp;ZV=NO&amp;ZR=NO&amp;anyoZV=&amp;strFechaVR=&amp;tematicos=&amp;anyotem=&amp;historica=&amp;coordinadas=&amp;antecedentes=" xr:uid="{A90E07D5-2F0C-4F26-947A-C68353F35719}"/>
    <hyperlink ref="Q63" r:id="rId128" display="https://www1.sedecatastro.gob.es/CYCBienInmueble/OVCListaBienes.aspx?RC1=1115101&amp;RC2=VF0711N&amp;RC3=&amp;RC4=&amp;esBice=&amp;RCBice1=&amp;RCBice2=&amp;DenoBice=&amp;pest=rc&amp;final=&amp;RCCompleta=1115101VF0711N&amp;from=OVCBusqueda&amp;tipoCarto=nuevo&amp;ZV=NO&amp;ZR=NO&amp;anyoZV=&amp;strFechaVR=&amp;tematicos=&amp;anyotem=&amp;historica=&amp;coordinadas=&amp;antecedentes=" xr:uid="{0ED5A8F9-A4D9-45B6-BB81-ACCF8F92CD13}"/>
    <hyperlink ref="Q64" r:id="rId129" display="https://www1.sedecatastro.gob.es/CYCBienInmueble/OVCListaBienes.aspx?RC1=1217114&amp;RC2=VF0711N&amp;RC3=&amp;RC4=&amp;esBice=&amp;RCBice1=&amp;RCBice2=&amp;DenoBice=&amp;pest=rc&amp;final=&amp;RCCompleta=1217114VF0711N&amp;from=OVCBusqueda&amp;tipoCarto=nuevo&amp;ZV=NO&amp;ZR=NO&amp;anyoZV=&amp;strFechaVR=&amp;tematicos=&amp;anyotem=&amp;historica=&amp;coordinadas=&amp;antecedentes=" xr:uid="{004D40E1-E38A-4EC6-8023-404EB484E7AD}"/>
    <hyperlink ref="Q65" r:id="rId130" display="https://www1.sedecatastro.gob.es/CYCBienInmueble/OVCListaBienes.aspx?RC1=2070101&amp;RC2=VF0627S&amp;RC3=&amp;RC4=&amp;esBice=&amp;RCBice1=&amp;RCBice2=&amp;DenoBice=&amp;pest=rc&amp;final=&amp;RCCompleta=2070101VF0627S&amp;from=OVCBusqueda&amp;tipoCarto=nuevo&amp;ZV=NO&amp;ZR=NO&amp;anyoZV=&amp;strFechaVR=&amp;tematicos=&amp;anyotem=&amp;historica=&amp;coordinadas=&amp;antecedentes=" xr:uid="{087C11BA-6CDA-4B1C-96C7-9F1253391D75}"/>
    <hyperlink ref="Q66" r:id="rId131" display="https://www1.sedecatastro.gob.es/CYCBienInmueble/OVCListaBienes.aspx?RC1=2670105&amp;RC2=VF0627S&amp;RC3=&amp;RC4=&amp;esBice=&amp;RCBice1=&amp;RCBice2=&amp;DenoBice=&amp;pest=rc&amp;final=&amp;RCCompleta=2670105VF0627S&amp;from=OVCBusqueda&amp;tipoCarto=nuevo&amp;ZV=NO&amp;ZR=NO&amp;anyoZV=&amp;strFechaVR=&amp;tematicos=&amp;anyotem=&amp;historica=&amp;coordinadas=&amp;antecedentes=" xr:uid="{2EE51B12-C373-453D-B6DC-7A4F646002F5}"/>
    <hyperlink ref="Q67" r:id="rId132" display="https://www1.sedecatastro.gob.es/CYCBienInmueble/OVCListaBienes.aspx?RC1=2468421&amp;RC2=VF0626N&amp;RC3=&amp;RC4=&amp;esBice=&amp;RCBice1=&amp;RCBice2=&amp;DenoBice=&amp;pest=rc&amp;final=&amp;RCCompleta=2468421VF0626N&amp;from=OVCBusqueda&amp;tipoCarto=nuevo&amp;ZV=NO&amp;ZR=NO&amp;anyoZV=&amp;strFechaVR=&amp;tematicos=&amp;anyotem=&amp;historica=&amp;coordinadas=&amp;antecedentes=" xr:uid="{08C01270-DCC3-4004-B2EC-E4C61559526F}"/>
    <hyperlink ref="Q49" r:id="rId133" xr:uid="{61D1D6C6-042A-4CA2-BE49-491F21C03C64}"/>
    <hyperlink ref="Q55" r:id="rId134" xr:uid="{C95134BD-4183-494D-8DD5-A731E1766DD8}"/>
    <hyperlink ref="Q70" r:id="rId135" display="https://www.google.com/maps/place/Abilplus+Marbella+-+Alquiler+de+trasteros+en+Marbella+-+Guardamuebles+y+Mudanzas/@36.5108676,-4.9008557,19z/data=!3m1!4b1!4m6!3m5!1s0xd72d7e024fce483:0xec1ad9acb4b60670!8m2!3d36.5108665!4d-4.900212!16s%2Fg%2F11frzd6313?entry=ttu&amp;g_ep=EgoyMDI2MDQyMi4wIKXMDSoASAFQAw%3D%3D" xr:uid="{86A89884-A331-455D-8B79-1098B48770BF}"/>
    <hyperlink ref="Q71" r:id="rId136" xr:uid="{E2AA01E6-F508-4C0B-9099-CA843B0BE836}"/>
    <hyperlink ref="Q72" r:id="rId137" display="https://www1.sedecatastro.gob.es/CYCBienInmueble/OVCListaBienes.aspx?RC1=2823107&amp;RC2=UF3422S&amp;RC3=&amp;RC4=&amp;esBice=&amp;RCBice1=&amp;RCBice2=&amp;DenoBice=&amp;pest=rc&amp;final=&amp;RCCompleta=2823107UF3422S&amp;from=OVCBusqueda&amp;tipoCarto=nuevo&amp;ZV=NO&amp;ZR=NO&amp;anyoZV=&amp;strFechaVR=&amp;tematicos=&amp;anyotem=&amp;historica=&amp;coordinadas=&amp;antecedentes=" xr:uid="{113E09DD-1CEC-4C17-8DF5-95CFF3E6A8A9}"/>
    <hyperlink ref="Q74" r:id="rId138" xr:uid="{84237829-8858-46D4-88E3-1E52089B40A5}"/>
    <hyperlink ref="Q75" r:id="rId139" xr:uid="{C17A927E-FDCB-4679-A69A-183C6B343500}"/>
    <hyperlink ref="Q76" r:id="rId140" display="https://www1.sedecatastro.gob.es/CYCBienInmueble/OVCListaBienes.aspx?RC1=1609402&amp;RC2=UF2410N&amp;RC3=&amp;RC4=&amp;esBice=&amp;RCBice1=&amp;RCBice2=&amp;DenoBice=&amp;pest=rc&amp;final=&amp;RCCompleta=1609402UF2410N&amp;from=OVCBusqueda&amp;tipoCarto=nuevo&amp;ZV=NO&amp;ZR=NO&amp;anyoZV=&amp;strFechaVR=&amp;tematicos=&amp;anyotem=&amp;historica=&amp;coordinadas=&amp;antecedentes=" xr:uid="{FF7C9529-A3BC-4471-8CA0-07303853738C}"/>
    <hyperlink ref="Q79" r:id="rId141" xr:uid="{5310FEE1-431C-487F-BF10-456449628833}"/>
    <hyperlink ref="Q80" r:id="rId142" display="https://www1.sedecatastro.gob.es/CYCBienInmueble/OVCListaBienes.aspx?RC1=1611601&amp;RC2=UF2411S&amp;RC3=&amp;RC4=&amp;esBice=&amp;RCBice1=&amp;RCBice2=&amp;DenoBice=&amp;pest=rc&amp;final=&amp;RCCompleta=1611601UF2411S&amp;from=OVCBusqueda&amp;tipoCarto=nuevo&amp;ZV=NO&amp;ZR=NO&amp;anyoZV=&amp;strFechaVR=&amp;tematicos=&amp;anyotem=&amp;historica=&amp;coordinadas=&amp;antecedentes=" xr:uid="{B1CC7A3E-C513-4C61-AF8D-3D82C9EB6562}"/>
    <hyperlink ref="Q81" r:id="rId143" display="https://www1.sedecatastro.gob.es/CYCBienInmueble/OVCListaBienes.aspx?RC1=2096202&amp;RC2=UF2329N&amp;RC3=&amp;RC4=&amp;esBice=&amp;RCBice1=&amp;RCBice2=&amp;DenoBice=&amp;pest=rc&amp;final=&amp;RCCompleta=2096202UF2329N&amp;from=OVCBusqueda&amp;tipoCarto=nuevo&amp;ZV=NO&amp;ZR=NO&amp;anyoZV=&amp;strFechaVR=&amp;tematicos=&amp;anyotem=&amp;historica=&amp;coordinadas=&amp;antecedentes=" xr:uid="{DBFD8847-3619-4F05-B840-5B5A69E3DC7A}"/>
    <hyperlink ref="Q82" r:id="rId144" display="https://www1.sedecatastro.gob.es/CYCBienInmueble/OVCListaBienes.aspx?RC1=2102303&amp;RC2=UF2420S&amp;RC3=&amp;RC4=&amp;esBice=&amp;RCBice1=&amp;RCBice2=&amp;DenoBice=&amp;pest=rc&amp;final=&amp;RCCompleta=2102303UF2420S&amp;from=OVCBusqueda&amp;tipoCarto=nuevo&amp;ZV=NO&amp;ZR=NO&amp;anyoZV=&amp;strFechaVR=&amp;tematicos=&amp;anyotem=&amp;historica=&amp;coordinadas=&amp;antecedentes=" xr:uid="{DC20F152-8740-40F4-A32B-421AC5EFFE79}"/>
    <hyperlink ref="Q83" r:id="rId145" xr:uid="{3E859936-62CC-4CED-8AA6-D8EF2E62CEC2}"/>
    <hyperlink ref="Q5" r:id="rId146" display="https://www1.sedecatastro.gob.es/CYCBienInmueble/OVCListaBienes.aspx?RC1=3963201&amp;RC2=UF5436S&amp;RC3=&amp;RC4=&amp;esBice=&amp;RCBice1=&amp;RCBice2=&amp;DenoBice=&amp;pest=rc&amp;final=&amp;RCCompleta=3963201UF5436S&amp;from=OVCBusqueda&amp;tipoCarto=nuevo&amp;ZV=NO&amp;ZR=NO&amp;anyoZV=&amp;strFechaVR=&amp;tematicos=&amp;anyotem=&amp;historica=&amp;coordinadas=&amp;antecedentes=" xr:uid="{FB9D84DE-7624-4A25-B314-3F8422CE9753}"/>
    <hyperlink ref="Q6" r:id="rId147" display="https://www1.sedecatastro.gob.es/CYCBienInmueble/OVCListaBienes.aspx?RC1=0674101&amp;RC2=UF5407S&amp;RC3=&amp;RC4=&amp;esBice=&amp;RCBice1=&amp;RCBice2=&amp;DenoBice=&amp;pest=rc&amp;final=&amp;RCCompleta=0674101UF5407S&amp;from=OVCBusqueda&amp;tipoCarto=nuevo&amp;ZV=NO&amp;ZR=NO&amp;anyoZV=&amp;strFechaVR=&amp;tematicos=&amp;anyotem=&amp;historica=&amp;coordinadas=&amp;antecedentes=" xr:uid="{3D1D7757-D609-4577-BA83-9D01619290EF}"/>
    <hyperlink ref="Q7" r:id="rId148" xr:uid="{F4D1E152-BE77-40A0-95D2-CD97F745AEFA}"/>
    <hyperlink ref="Q12" r:id="rId149" xr:uid="{3F84C1CF-7B28-433F-B319-E26C8F8A1579}"/>
    <hyperlink ref="Q13" r:id="rId150" xr:uid="{C7843460-EF81-4D21-B1E4-5B417D1E086C}"/>
    <hyperlink ref="Q15" r:id="rId151" xr:uid="{7F4EF6D4-DC4A-421D-9E5B-2EAC103E9F28}"/>
    <hyperlink ref="Q14" r:id="rId152" xr:uid="{6C074461-5D96-4AC8-93AD-8AA51E11B653}"/>
    <hyperlink ref="Q16" r:id="rId153" xr:uid="{409BD3CB-6CCB-4ABD-A4DB-F731A63E0ED0}"/>
    <hyperlink ref="Q57" r:id="rId154" xr:uid="{BDFB44FB-BF05-47AD-B62D-2EED0CCDEDE9}"/>
    <hyperlink ref="Q58" r:id="rId155" xr:uid="{4364EAB0-626D-4140-B42E-E6CE66644833}"/>
    <hyperlink ref="K59" r:id="rId156" xr:uid="{B85E9109-D001-477A-AAC4-BD975AF9DC75}"/>
    <hyperlink ref="Q59" r:id="rId157" xr:uid="{6A7D8611-64D0-4D35-9837-875979C75B58}"/>
    <hyperlink ref="Q84" r:id="rId158" xr:uid="{35A326CF-D413-4504-867E-DC1FD1720DA0}"/>
    <hyperlink ref="Q86" r:id="rId159" xr:uid="{9E6C9977-DF86-457E-B8DE-8E56C6914439}"/>
    <hyperlink ref="Q88" r:id="rId160" xr:uid="{CEE6EBDC-E61A-4AE1-B220-34B20BC41698}"/>
    <hyperlink ref="Q89" r:id="rId161" xr:uid="{A8D72F86-442A-4F85-BE8B-CA1211A838DC}"/>
    <hyperlink ref="Q91" r:id="rId162" xr:uid="{2F754D5D-50BA-4CC7-BA51-345E084D9D3E}"/>
    <hyperlink ref="Q92" r:id="rId163" xr:uid="{9AFBA441-6299-493C-BD5E-3FA0FF3672B6}"/>
    <hyperlink ref="Q69" r:id="rId164" xr:uid="{1969BBAE-9D34-48D6-AA41-E8F6AC979161}"/>
    <hyperlink ref="Q68" r:id="rId165" xr:uid="{3815FB2A-4174-42FA-BD0F-E386DB035435}"/>
    <hyperlink ref="Q51" r:id="rId166" xr:uid="{AA4263A4-4FCC-4276-8E33-B0881406A34B}"/>
    <hyperlink ref="Q52" r:id="rId167" xr:uid="{8A3AF4EB-6340-4042-9101-5514C5996136}"/>
    <hyperlink ref="Q53" r:id="rId168" xr:uid="{BB3CE07B-A19C-4EF5-804A-D60281B08FC9}"/>
    <hyperlink ref="Q9" r:id="rId169" xr:uid="{5A768143-CF39-474F-BF98-91F6C968A609}"/>
    <hyperlink ref="Q19" r:id="rId170" display="https://www1.sedecatastro.gob.es/CYCBienInmueble/OVCListaBienes.aspx?RC1=2822202&amp;RC2=UF6522S&amp;RC3=&amp;RC4=&amp;esBice=&amp;RCBice1=&amp;RCBice2=&amp;DenoBice=&amp;pest=rc&amp;final=&amp;RCCompleta=2822202UF6522S&amp;from=OVCBusqueda&amp;tipoCarto=nuevo&amp;ZV=NO&amp;ZR=NO&amp;anyoZV=&amp;strFechaVR=&amp;tematicos=&amp;anyotem=&amp;historica=&amp;coordinadas=&amp;antecedentes=" xr:uid="{F6469523-5E35-460D-9304-3DB9CCB239AA}"/>
    <hyperlink ref="Q98" r:id="rId171" xr:uid="{3C675423-33BE-4E05-8ACC-4B25ECB22336}"/>
    <hyperlink ref="Q93" r:id="rId172" xr:uid="{61D1E607-1C83-462F-8F97-B98217FDB4A2}"/>
    <hyperlink ref="Q94" r:id="rId173" xr:uid="{FF31791E-A15E-4246-91BF-AA277849CACE}"/>
    <hyperlink ref="Q95" r:id="rId174" xr:uid="{C633A8BE-9480-4CD9-9ECB-1E091A1CEE28}"/>
    <hyperlink ref="Q96" r:id="rId175" display="https://www1.sedecatastro.gob.es/CYCBienInmueble/OVCListaBienes.aspx?RC1=9966501&amp;RC2=TF9296N&amp;RC3=&amp;RC4=&amp;esBice=&amp;RCBice1=&amp;RCBice2=&amp;DenoBice=&amp;pest=rc&amp;final=&amp;RCCompleta=9966501TF9296N&amp;from=OVCBusqueda&amp;tipoCarto=nuevo&amp;ZV=NO&amp;ZR=NO&amp;anyoZV=&amp;strFechaVR=&amp;tematicos=&amp;anyotem=&amp;historica=&amp;coordinadas=&amp;antecedentes=" xr:uid="{51E4E809-1023-41FA-877A-7F85219DE98A}"/>
    <hyperlink ref="Q97" r:id="rId176" display="https://www1.sedecatastro.gob.es/CYCBienInmueble/OVCListaBienes.aspx?RC1=0270101&amp;RC2=UF0207S&amp;RC3=&amp;RC4=&amp;esBice=&amp;RCBice1=&amp;RCBice2=&amp;DenoBice=&amp;pest=rc&amp;final=&amp;RCCompleta=0270101UF0207S&amp;from=OVCBusqueda&amp;tipoCarto=nuevo&amp;ZV=NO&amp;ZR=NO&amp;anyoZV=&amp;strFechaVR=&amp;tematicos=&amp;anyotem=&amp;historica=&amp;coordinadas=&amp;antecedentes=" xr:uid="{5F87EF70-0822-4612-9EC0-9E0C195FCD92}"/>
    <hyperlink ref="Q99" r:id="rId177" display="https://www1.sedecatastro.gob.es/CYCBienInmueble/OVCListaBienes.aspx?RC1=8297205&amp;RC2=UF0689N&amp;RC3=&amp;RC4=&amp;esBice=&amp;RCBice1=&amp;RCBice2=&amp;DenoBice=&amp;pest=rc&amp;final=&amp;RCCompleta=8297205UF0689N&amp;from=OVCBusqueda&amp;tipoCarto=nuevo&amp;ZV=NO&amp;ZR=NO&amp;anyoZV=&amp;strFechaVR=&amp;tematicos=&amp;anyotem=&amp;historica=&amp;coordinadas=&amp;antecedentes=" xr:uid="{1E8EDF3A-391A-461C-B15E-CA2EB23A8EFF}"/>
    <hyperlink ref="Q100" r:id="rId178" display="https://www1.sedecatastro.gob.es/CYCBienInmueble/OVCListaBienes.aspx?RC1=7087701&amp;RC2=UF0678N&amp;RC3=&amp;RC4=&amp;esBice=&amp;RCBice1=&amp;RCBice2=&amp;DenoBice=&amp;pest=rc&amp;final=&amp;RCCompleta=7087701UF0678N&amp;from=OVCBusqueda&amp;tipoCarto=nuevo&amp;ZV=NO&amp;ZR=NO&amp;anyoZV=&amp;strFechaVR=&amp;tematicos=&amp;anyotem=&amp;historica=&amp;coordinadas=&amp;antecedentes=" xr:uid="{3490043E-46E4-4DDE-BDD2-DF1A6A99EEE9}"/>
  </hyperlinks>
  <pageMargins left="0.75" right="0.75" top="1" bottom="1" header="0.5" footer="0.5"/>
  <tableParts count="1">
    <tablePart r:id="rId17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9E2B2-EF90-44BD-9BE5-292B5A645BB5}">
  <dimension ref="A1:C39"/>
  <sheetViews>
    <sheetView workbookViewId="0">
      <selection activeCell="B2" sqref="B2:B38"/>
    </sheetView>
  </sheetViews>
  <sheetFormatPr defaultRowHeight="14.4" x14ac:dyDescent="0.3"/>
  <cols>
    <col min="1" max="1" width="9.109375" bestFit="1" customWidth="1"/>
    <col min="2" max="2" width="12.33203125" bestFit="1" customWidth="1"/>
    <col min="3" max="3" width="14.5546875" bestFit="1" customWidth="1"/>
  </cols>
  <sheetData>
    <row r="1" spans="1:3" x14ac:dyDescent="0.3">
      <c r="A1" t="s">
        <v>845</v>
      </c>
      <c r="B1" t="s">
        <v>846</v>
      </c>
      <c r="C1" t="s">
        <v>847</v>
      </c>
    </row>
    <row r="2" spans="1:3" x14ac:dyDescent="0.3">
      <c r="A2" t="s">
        <v>848</v>
      </c>
      <c r="B2">
        <v>7</v>
      </c>
      <c r="C2" t="s">
        <v>743</v>
      </c>
    </row>
    <row r="3" spans="1:3" hidden="1" x14ac:dyDescent="0.3">
      <c r="A3" t="s">
        <v>849</v>
      </c>
      <c r="B3">
        <v>10</v>
      </c>
      <c r="C3" t="s">
        <v>742</v>
      </c>
    </row>
    <row r="4" spans="1:3" x14ac:dyDescent="0.3">
      <c r="A4" t="s">
        <v>850</v>
      </c>
      <c r="B4">
        <v>7</v>
      </c>
      <c r="C4" t="s">
        <v>743</v>
      </c>
    </row>
    <row r="5" spans="1:3" hidden="1" x14ac:dyDescent="0.3">
      <c r="A5" t="s">
        <v>851</v>
      </c>
      <c r="B5">
        <v>10</v>
      </c>
      <c r="C5" t="s">
        <v>742</v>
      </c>
    </row>
    <row r="6" spans="1:3" x14ac:dyDescent="0.3">
      <c r="A6" t="s">
        <v>852</v>
      </c>
      <c r="B6">
        <v>6</v>
      </c>
      <c r="C6" t="s">
        <v>743</v>
      </c>
    </row>
    <row r="7" spans="1:3" hidden="1" x14ac:dyDescent="0.3">
      <c r="A7" t="s">
        <v>853</v>
      </c>
      <c r="B7">
        <v>10</v>
      </c>
      <c r="C7" t="s">
        <v>742</v>
      </c>
    </row>
    <row r="8" spans="1:3" x14ac:dyDescent="0.3">
      <c r="A8" t="s">
        <v>854</v>
      </c>
      <c r="B8">
        <v>6</v>
      </c>
      <c r="C8" t="s">
        <v>743</v>
      </c>
    </row>
    <row r="9" spans="1:3" hidden="1" x14ac:dyDescent="0.3">
      <c r="A9" t="s">
        <v>855</v>
      </c>
      <c r="B9">
        <v>10</v>
      </c>
      <c r="C9" t="s">
        <v>742</v>
      </c>
    </row>
    <row r="10" spans="1:3" x14ac:dyDescent="0.3">
      <c r="A10" t="s">
        <v>856</v>
      </c>
      <c r="B10">
        <v>5</v>
      </c>
      <c r="C10" t="s">
        <v>743</v>
      </c>
    </row>
    <row r="11" spans="1:3" hidden="1" x14ac:dyDescent="0.3">
      <c r="A11" t="s">
        <v>857</v>
      </c>
      <c r="B11">
        <v>10</v>
      </c>
      <c r="C11" t="s">
        <v>742</v>
      </c>
    </row>
    <row r="12" spans="1:3" x14ac:dyDescent="0.3">
      <c r="A12" t="s">
        <v>858</v>
      </c>
      <c r="B12">
        <v>6</v>
      </c>
      <c r="C12" t="s">
        <v>743</v>
      </c>
    </row>
    <row r="13" spans="1:3" hidden="1" x14ac:dyDescent="0.3">
      <c r="A13" t="s">
        <v>859</v>
      </c>
      <c r="B13">
        <v>10</v>
      </c>
      <c r="C13" t="s">
        <v>742</v>
      </c>
    </row>
    <row r="14" spans="1:3" x14ac:dyDescent="0.3">
      <c r="A14" t="s">
        <v>860</v>
      </c>
      <c r="B14">
        <v>5</v>
      </c>
      <c r="C14" t="s">
        <v>743</v>
      </c>
    </row>
    <row r="15" spans="1:3" hidden="1" x14ac:dyDescent="0.3">
      <c r="A15" t="s">
        <v>861</v>
      </c>
      <c r="B15">
        <v>10</v>
      </c>
      <c r="C15" t="s">
        <v>742</v>
      </c>
    </row>
    <row r="16" spans="1:3" x14ac:dyDescent="0.3">
      <c r="A16" t="s">
        <v>862</v>
      </c>
      <c r="B16">
        <v>7</v>
      </c>
      <c r="C16" t="s">
        <v>743</v>
      </c>
    </row>
    <row r="17" spans="1:3" hidden="1" x14ac:dyDescent="0.3">
      <c r="A17" t="s">
        <v>863</v>
      </c>
      <c r="B17">
        <v>10</v>
      </c>
      <c r="C17" t="s">
        <v>742</v>
      </c>
    </row>
    <row r="18" spans="1:3" x14ac:dyDescent="0.3">
      <c r="A18" t="s">
        <v>864</v>
      </c>
      <c r="B18">
        <v>7</v>
      </c>
      <c r="C18" t="s">
        <v>743</v>
      </c>
    </row>
    <row r="19" spans="1:3" hidden="1" x14ac:dyDescent="0.3">
      <c r="A19" t="s">
        <v>865</v>
      </c>
      <c r="B19">
        <v>10</v>
      </c>
      <c r="C19" t="s">
        <v>742</v>
      </c>
    </row>
    <row r="20" spans="1:3" x14ac:dyDescent="0.3">
      <c r="A20" t="s">
        <v>866</v>
      </c>
      <c r="B20">
        <v>6</v>
      </c>
      <c r="C20" t="s">
        <v>743</v>
      </c>
    </row>
    <row r="21" spans="1:3" hidden="1" x14ac:dyDescent="0.3">
      <c r="A21" t="s">
        <v>744</v>
      </c>
      <c r="B21">
        <v>10</v>
      </c>
      <c r="C21" t="s">
        <v>742</v>
      </c>
    </row>
    <row r="22" spans="1:3" x14ac:dyDescent="0.3">
      <c r="A22" t="s">
        <v>874</v>
      </c>
      <c r="B22">
        <v>6</v>
      </c>
      <c r="C22" t="s">
        <v>743</v>
      </c>
    </row>
    <row r="23" spans="1:3" hidden="1" x14ac:dyDescent="0.3">
      <c r="A23" t="s">
        <v>745</v>
      </c>
      <c r="B23">
        <v>10</v>
      </c>
      <c r="C23" t="s">
        <v>742</v>
      </c>
    </row>
    <row r="24" spans="1:3" x14ac:dyDescent="0.3">
      <c r="A24" t="s">
        <v>867</v>
      </c>
      <c r="B24">
        <v>6</v>
      </c>
      <c r="C24" t="s">
        <v>743</v>
      </c>
    </row>
    <row r="25" spans="1:3" hidden="1" x14ac:dyDescent="0.3">
      <c r="A25" t="s">
        <v>746</v>
      </c>
      <c r="B25">
        <v>10</v>
      </c>
      <c r="C25" t="s">
        <v>742</v>
      </c>
    </row>
    <row r="26" spans="1:3" x14ac:dyDescent="0.3">
      <c r="A26" t="s">
        <v>875</v>
      </c>
      <c r="B26">
        <v>5</v>
      </c>
      <c r="C26" t="s">
        <v>743</v>
      </c>
    </row>
    <row r="27" spans="1:3" hidden="1" x14ac:dyDescent="0.3">
      <c r="A27" t="s">
        <v>747</v>
      </c>
      <c r="B27">
        <v>10</v>
      </c>
      <c r="C27" t="s">
        <v>742</v>
      </c>
    </row>
    <row r="28" spans="1:3" x14ac:dyDescent="0.3">
      <c r="A28" t="s">
        <v>868</v>
      </c>
      <c r="B28">
        <v>5</v>
      </c>
      <c r="C28" t="s">
        <v>743</v>
      </c>
    </row>
    <row r="29" spans="1:3" hidden="1" x14ac:dyDescent="0.3">
      <c r="A29" t="s">
        <v>748</v>
      </c>
      <c r="B29">
        <v>10</v>
      </c>
      <c r="C29" t="s">
        <v>742</v>
      </c>
    </row>
    <row r="30" spans="1:3" x14ac:dyDescent="0.3">
      <c r="A30" t="s">
        <v>869</v>
      </c>
      <c r="B30">
        <v>7</v>
      </c>
      <c r="C30" t="s">
        <v>743</v>
      </c>
    </row>
    <row r="31" spans="1:3" hidden="1" x14ac:dyDescent="0.3">
      <c r="A31" t="s">
        <v>749</v>
      </c>
      <c r="B31">
        <v>10</v>
      </c>
      <c r="C31" t="s">
        <v>742</v>
      </c>
    </row>
    <row r="32" spans="1:3" x14ac:dyDescent="0.3">
      <c r="A32" t="s">
        <v>870</v>
      </c>
      <c r="B32">
        <v>6</v>
      </c>
      <c r="C32" t="s">
        <v>743</v>
      </c>
    </row>
    <row r="33" spans="1:3" hidden="1" x14ac:dyDescent="0.3">
      <c r="A33" t="s">
        <v>750</v>
      </c>
      <c r="B33">
        <v>10</v>
      </c>
      <c r="C33" t="s">
        <v>742</v>
      </c>
    </row>
    <row r="34" spans="1:3" x14ac:dyDescent="0.3">
      <c r="A34" t="s">
        <v>871</v>
      </c>
      <c r="B34">
        <v>5</v>
      </c>
      <c r="C34" t="s">
        <v>743</v>
      </c>
    </row>
    <row r="35" spans="1:3" hidden="1" x14ac:dyDescent="0.3">
      <c r="A35" t="s">
        <v>751</v>
      </c>
      <c r="B35">
        <v>10</v>
      </c>
      <c r="C35" t="s">
        <v>742</v>
      </c>
    </row>
    <row r="36" spans="1:3" x14ac:dyDescent="0.3">
      <c r="A36" t="s">
        <v>872</v>
      </c>
      <c r="B36">
        <v>6</v>
      </c>
      <c r="C36" t="s">
        <v>743</v>
      </c>
    </row>
    <row r="37" spans="1:3" hidden="1" x14ac:dyDescent="0.3">
      <c r="A37" t="s">
        <v>752</v>
      </c>
      <c r="B37">
        <v>10</v>
      </c>
      <c r="C37" t="s">
        <v>742</v>
      </c>
    </row>
    <row r="38" spans="1:3" x14ac:dyDescent="0.3">
      <c r="A38" t="s">
        <v>873</v>
      </c>
      <c r="B38">
        <v>6</v>
      </c>
      <c r="C38" t="s">
        <v>743</v>
      </c>
    </row>
    <row r="39" spans="1:3" hidden="1" x14ac:dyDescent="0.3">
      <c r="A39" t="s">
        <v>753</v>
      </c>
      <c r="B39">
        <v>10</v>
      </c>
      <c r="C39" t="s">
        <v>742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5"/>
  <sheetViews>
    <sheetView workbookViewId="0"/>
  </sheetViews>
  <sheetFormatPr defaultRowHeight="14.4" x14ac:dyDescent="0.3"/>
  <cols>
    <col min="1" max="1" width="24" customWidth="1"/>
    <col min="2" max="2" width="7" customWidth="1"/>
    <col min="3" max="3" width="52" customWidth="1"/>
    <col min="4" max="4" width="55" customWidth="1"/>
  </cols>
  <sheetData>
    <row r="1" spans="1:4" ht="22.05" customHeight="1" x14ac:dyDescent="0.3">
      <c r="A1" s="15" t="s">
        <v>655</v>
      </c>
      <c r="B1" s="15" t="s">
        <v>656</v>
      </c>
      <c r="C1" s="15" t="s">
        <v>657</v>
      </c>
      <c r="D1" s="15" t="s">
        <v>658</v>
      </c>
    </row>
    <row r="2" spans="1:4" ht="28.05" customHeight="1" x14ac:dyDescent="0.3">
      <c r="A2" s="16" t="s">
        <v>79</v>
      </c>
      <c r="B2" s="17">
        <v>56</v>
      </c>
      <c r="C2" s="18"/>
      <c r="D2" s="8" t="s">
        <v>659</v>
      </c>
    </row>
    <row r="3" spans="1:4" ht="28.05" customHeight="1" x14ac:dyDescent="0.3">
      <c r="A3" s="19" t="s">
        <v>60</v>
      </c>
      <c r="B3" s="17">
        <v>10</v>
      </c>
      <c r="C3" s="20" t="s">
        <v>660</v>
      </c>
      <c r="D3" s="8" t="s">
        <v>661</v>
      </c>
    </row>
    <row r="4" spans="1:4" ht="28.05" customHeight="1" x14ac:dyDescent="0.3">
      <c r="A4" s="19" t="s">
        <v>73</v>
      </c>
      <c r="B4" s="17">
        <v>6</v>
      </c>
      <c r="C4" s="20" t="s">
        <v>196</v>
      </c>
      <c r="D4" s="8" t="s">
        <v>662</v>
      </c>
    </row>
    <row r="5" spans="1:4" ht="28.05" customHeight="1" x14ac:dyDescent="0.3">
      <c r="A5" s="19" t="s">
        <v>110</v>
      </c>
      <c r="B5" s="17">
        <v>6</v>
      </c>
      <c r="C5" s="20" t="s">
        <v>663</v>
      </c>
      <c r="D5" s="8" t="s">
        <v>664</v>
      </c>
    </row>
    <row r="6" spans="1:4" ht="28.05" customHeight="1" x14ac:dyDescent="0.3">
      <c r="A6" s="19" t="s">
        <v>131</v>
      </c>
      <c r="B6" s="17">
        <v>3</v>
      </c>
      <c r="C6" s="20" t="s">
        <v>665</v>
      </c>
      <c r="D6" s="8" t="s">
        <v>666</v>
      </c>
    </row>
    <row r="7" spans="1:4" ht="28.05" customHeight="1" x14ac:dyDescent="0.3">
      <c r="A7" s="19" t="s">
        <v>148</v>
      </c>
      <c r="B7" s="17">
        <v>3</v>
      </c>
      <c r="C7" s="20" t="s">
        <v>667</v>
      </c>
      <c r="D7" s="8" t="s">
        <v>668</v>
      </c>
    </row>
    <row r="8" spans="1:4" ht="28.05" customHeight="1" x14ac:dyDescent="0.3">
      <c r="A8" s="19" t="s">
        <v>285</v>
      </c>
      <c r="B8" s="17">
        <v>3</v>
      </c>
      <c r="C8" s="20" t="s">
        <v>669</v>
      </c>
      <c r="D8" s="8" t="s">
        <v>670</v>
      </c>
    </row>
    <row r="9" spans="1:4" ht="28.05" customHeight="1" x14ac:dyDescent="0.3">
      <c r="A9" s="19" t="s">
        <v>331</v>
      </c>
      <c r="B9" s="17">
        <v>3</v>
      </c>
      <c r="C9" s="20" t="s">
        <v>671</v>
      </c>
      <c r="D9" s="8" t="s">
        <v>672</v>
      </c>
    </row>
    <row r="10" spans="1:4" ht="28.05" customHeight="1" x14ac:dyDescent="0.3">
      <c r="A10" s="19" t="s">
        <v>505</v>
      </c>
      <c r="B10" s="17">
        <v>3</v>
      </c>
      <c r="C10" s="20" t="s">
        <v>673</v>
      </c>
      <c r="D10" s="8" t="s">
        <v>674</v>
      </c>
    </row>
    <row r="11" spans="1:4" ht="28.05" customHeight="1" x14ac:dyDescent="0.3">
      <c r="A11" s="19" t="s">
        <v>274</v>
      </c>
      <c r="B11" s="17">
        <v>2</v>
      </c>
      <c r="C11" s="18"/>
      <c r="D11" s="8" t="s">
        <v>675</v>
      </c>
    </row>
    <row r="12" spans="1:4" ht="28.05" customHeight="1" x14ac:dyDescent="0.3">
      <c r="A12" s="19" t="s">
        <v>397</v>
      </c>
      <c r="B12" s="17">
        <v>2</v>
      </c>
      <c r="C12" s="18"/>
      <c r="D12" s="8" t="s">
        <v>676</v>
      </c>
    </row>
    <row r="13" spans="1:4" ht="28.05" customHeight="1" x14ac:dyDescent="0.3">
      <c r="A13" s="19" t="s">
        <v>530</v>
      </c>
      <c r="B13" s="17">
        <v>2</v>
      </c>
      <c r="C13" s="18"/>
      <c r="D13" s="8" t="s">
        <v>677</v>
      </c>
    </row>
    <row r="15" spans="1:4" ht="28.05" customHeight="1" x14ac:dyDescent="0.3">
      <c r="A15" s="21" t="s">
        <v>678</v>
      </c>
      <c r="C15" s="22" t="s">
        <v>679</v>
      </c>
      <c r="D15" s="23" t="s">
        <v>680</v>
      </c>
    </row>
  </sheetData>
  <hyperlinks>
    <hyperlink ref="C3" r:id="rId1" xr:uid="{00000000-0004-0000-0200-000000000000}"/>
    <hyperlink ref="C4" r:id="rId2" xr:uid="{00000000-0004-0000-0200-000001000000}"/>
    <hyperlink ref="C5" r:id="rId3" xr:uid="{00000000-0004-0000-0200-000002000000}"/>
    <hyperlink ref="C6" r:id="rId4" xr:uid="{00000000-0004-0000-0200-000003000000}"/>
    <hyperlink ref="C7" r:id="rId5" xr:uid="{00000000-0004-0000-0200-000004000000}"/>
    <hyperlink ref="C8" r:id="rId6" xr:uid="{00000000-0004-0000-0200-000005000000}"/>
    <hyperlink ref="C9" r:id="rId7" xr:uid="{00000000-0004-0000-0200-000006000000}"/>
    <hyperlink ref="C10" r:id="rId8" xr:uid="{00000000-0004-0000-0200-000007000000}"/>
    <hyperlink ref="C15" r:id="rId9" xr:uid="{00000000-0004-0000-0200-000008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Facilities</vt:lpstr>
      <vt:lpstr>Sheet1</vt:lpstr>
      <vt:lpstr>Operator_Sources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Tomás Rugeroni</cp:lastModifiedBy>
  <dcterms:created xsi:type="dcterms:W3CDTF">2026-04-24T08:50:24Z</dcterms:created>
  <dcterms:modified xsi:type="dcterms:W3CDTF">2026-04-26T21:55:59Z</dcterms:modified>
</cp:coreProperties>
</file>